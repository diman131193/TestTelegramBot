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bd7d251c7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29f11ea19fc243d4"/>
    <x:sheet xmlns:r="http://schemas.openxmlformats.org/officeDocument/2006/relationships" name="Рекомендации" sheetId="2" r:id="R319c7121c6354ff5"/>
    <x:sheet xmlns:r="http://schemas.openxmlformats.org/officeDocument/2006/relationships" name="Общие тексты" sheetId="3" r:id="Rc25f3bfd5d2642e7"/>
    <x:sheet xmlns:r="http://schemas.openxmlformats.org/officeDocument/2006/relationships" name="Подписи" sheetId="4" r:id="Rd72e07d0667346e8"/>
    <x:sheet xmlns:r="http://schemas.openxmlformats.org/officeDocument/2006/relationships" name="Услуги" sheetId="5" r:id="Ra55039cf8a414c5e"/>
    <x:sheet xmlns:r="http://schemas.openxmlformats.org/officeDocument/2006/relationships" name="Вопросы" sheetId="6" r:id="Rf77eb180669c4c78"/>
    <x:sheet xmlns:r="http://schemas.openxmlformats.org/officeDocument/2006/relationships" name="Предпросмотр" sheetId="7" r:id="R9ff250d02b6e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4"/>
      <x:color rgb="FFB96F52"/>
      <x:name val="Carlito"/>
    </x:font>
    <x:font>
      <x:sz val="10"/>
      <x:color rgb="FF293737"/>
      <x:name val="Carlito"/>
    </x:font>
    <x:font>
      <x:b/>
      <x:sz val="14"/>
      <x:color rgb="FFFFFFFF"/>
      <x:name val="Carlito"/>
    </x:font>
    <x:font>
      <x:b/>
      <x:sz val="10"/>
      <x:color rgb="FF2937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93737"/>
      <x:name val="Carlito"/>
    </x:font>
    <x:font>
      <x:sz val="11"/>
      <x:color rgb="FF293737"/>
      <x:name val="Carlito"/>
    </x:font>
    <x:font>
      <x:b/>
      <x:sz val="13"/>
      <x:color rgb="FFFFFFFF"/>
      <x:name val="Carlito"/>
    </x:font>
    <x:font>
      <x:b/>
      <x:sz val="14"/>
      <x:color rgb="FF2937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93737"/>
      </x:patternFill>
    </x:fill>
    <x:fill>
      <x:patternFill patternType="solid">
        <x:fgColor rgb="FFB96F52"/>
      </x:patternFill>
    </x:fill>
    <x:fill>
      <x:patternFill patternType="solid">
        <x:fgColor rgb="FF52796F"/>
      </x:patternFill>
    </x:fill>
    <x:fill>
      <x:patternFill patternType="solid">
        <x:fgColor rgb="FFF7F1E8"/>
      </x:patternFill>
    </x:fill>
    <x:fill>
      <x:patternFill patternType="solid">
        <x:fgColor rgb="FFE8ECEC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</x:fills>
  <x:borders count="13">
    <x:border/>
    <x:border>
      <x:right style="thin">
        <x:color rgb="FFD8DEDC"/>
      </x:right>
      <x:bottom style="thin">
        <x:color rgb="FFD8DEDC"/>
      </x:bottom>
    </x:border>
    <x:border>
      <x:left style="thin">
        <x:color rgb="FFD8DEDC"/>
      </x:left>
      <x:right style="thin">
        <x:color rgb="FFD8DEDC"/>
      </x:right>
      <x:bottom style="thin">
        <x:color rgb="FFD8DEDC"/>
      </x:bottom>
    </x:border>
    <x:border>
      <x:left style="thin">
        <x:color rgb="FFD8DEDC"/>
      </x:left>
      <x:bottom style="thin">
        <x:color rgb="FFD8DEDC"/>
      </x:bottom>
    </x:border>
    <x:border>
      <x:right style="thin">
        <x:color rgb="FFD8DEDC"/>
      </x:right>
      <x:top style="thin">
        <x:color rgb="FFD8DEDC"/>
      </x:top>
      <x:bottom style="thin">
        <x:color rgb="FFD8DEDC"/>
      </x:bottom>
    </x:border>
    <x:border>
      <x:left style="thin">
        <x:color rgb="FFD8DEDC"/>
      </x:left>
      <x:right style="thin">
        <x:color rgb="FFD8DEDC"/>
      </x:right>
      <x:top style="thin">
        <x:color rgb="FFD8DEDC"/>
      </x:top>
      <x:bottom style="thin">
        <x:color rgb="FFD8DEDC"/>
      </x:bottom>
    </x:border>
    <x:border>
      <x:left style="thin">
        <x:color rgb="FFD8DEDC"/>
      </x:left>
      <x:top style="thin">
        <x:color rgb="FFD8DEDC"/>
      </x:top>
      <x:bottom style="thin">
        <x:color rgb="FFD8DEDC"/>
      </x:bottom>
    </x:border>
    <x:border>
      <x:right style="thin">
        <x:color rgb="FFD8DEDC"/>
      </x:right>
      <x:top style="thin">
        <x:color rgb="FFD8DEDC"/>
      </x:top>
    </x:border>
    <x:border>
      <x:left style="thin">
        <x:color rgb="FFD8DEDC"/>
      </x:left>
      <x:right style="thin">
        <x:color rgb="FFD8DEDC"/>
      </x:right>
      <x:top style="thin">
        <x:color rgb="FFD8DEDC"/>
      </x:top>
    </x:border>
    <x:border>
      <x:left style="thin">
        <x:color rgb="FFD8DEDC"/>
      </x:left>
      <x:top style="thin">
        <x:color rgb="FFD8DEDC"/>
      </x:top>
    </x:border>
    <x:border>
      <x:right style="thin">
        <x:color rgb="FFD8DEDC"/>
      </x:right>
    </x:border>
    <x:border>
      <x:left style="thin">
        <x:color rgb="FFD8DEDC"/>
      </x:left>
      <x:right style="thin">
        <x:color rgb="FFD8DEDC"/>
      </x:right>
    </x:border>
    <x:border>
      <x:left style="thin">
        <x:color rgb="FFD8DEDC"/>
      </x:left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2F2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1d17433ed4d95" /><Relationship Type="http://schemas.openxmlformats.org/officeDocument/2006/relationships/theme" Target="/xl/theme/theme1.xml" Id="R9c99f8fad76d47e4" /><Relationship Type="http://schemas.openxmlformats.org/officeDocument/2006/relationships/sharedStrings" Target="/xl/sharedStrings.xml" Id="R0967b59ad1f24dcd" /><Relationship Type="http://schemas.openxmlformats.org/officeDocument/2006/relationships/worksheet" Target="/xl/worksheets/sheet1.xml" Id="R29f11ea19fc243d4" /><Relationship Type="http://schemas.openxmlformats.org/officeDocument/2006/relationships/worksheet" Target="/xl/worksheets/sheet2.xml" Id="R319c7121c6354ff5" /><Relationship Type="http://schemas.openxmlformats.org/officeDocument/2006/relationships/worksheet" Target="/xl/worksheets/sheet3.xml" Id="Rc25f3bfd5d2642e7" /><Relationship Type="http://schemas.openxmlformats.org/officeDocument/2006/relationships/worksheet" Target="/xl/worksheets/sheet4.xml" Id="Rd72e07d0667346e8" /><Relationship Type="http://schemas.openxmlformats.org/officeDocument/2006/relationships/worksheet" Target="/xl/worksheets/sheet5.xml" Id="Ra55039cf8a414c5e" /><Relationship Type="http://schemas.openxmlformats.org/officeDocument/2006/relationships/worksheet" Target="/xl/worksheets/sheet6.xml" Id="Rf77eb180669c4c78" /><Relationship Type="http://schemas.openxmlformats.org/officeDocument/2006/relationships/worksheet" Target="/xl/worksheets/sheet7.xml" Id="R9ff250d02b6e4f01" /></Relationships>
</file>

<file path=xl/tables/table1.xml><?xml version="1.0" encoding="utf-8"?>
<x:table xmlns:x="http://schemas.openxmlformats.org/spreadsheetml/2006/main" id="1" name="RecommendationsTable" displayName="RecommendationsTable" ref="A4:N18" headerRowCount="1" totalsRowCount="0" totalsRowShown="0">
  <x:tableColumns count="14">
    <x:tableColumn id="1" name="ID модуля"/>
    <x:tableColumn id="2" name="Роль"/>
    <x:tableColumn id="3" name="Ситуация"/>
    <x:tableColumn id="4" name="Заголовок"/>
    <x:tableColumn id="5" name="Краткое объяснение"/>
    <x:tableColumn id="6" name="Шаг 1"/>
    <x:tableColumn id="7" name="Шаг 2"/>
    <x:tableColumn id="8" name="Шаг 3"/>
    <x:tableColumn id="9" name="Осторожно 1"/>
    <x:tableColumn id="10" name="Осторожно 2"/>
    <x:tableColumn id="11" name="CTA"/>
    <x:tableColumn id="12" name="Услуга ID"/>
    <x:tableColumn id="13" name="Активно"/>
    <x:tableColumn id="14" name="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ttingsTable" displayName="SettingsTable" ref="A4:E14" headerRowCount="1" totalsRowCount="0" totalsRowShown="0">
  <x:tableColumns count="5">
    <x:tableColumn id="1" name="Ключ"/>
    <x:tableColumn id="2" name="Название"/>
    <x:tableColumn id="3" name="Значение"/>
    <x:tableColumn id="4" name="Тип"/>
    <x:tableColumn id="5" name="Обязательн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elsTable" displayName="LabelsTable" ref="A4:E26" headerRowCount="1" totalsRowCount="0" totalsRowShown="0">
  <x:tableColumns count="5">
    <x:tableColumn id="1" name="Группа ID"/>
    <x:tableColumn id="2" name="Значение ID"/>
    <x:tableColumn id="3" name="Раздел"/>
    <x:tableColumn id="4" name="Фраза для клиента"/>
    <x:tableColumn id="5" name="Показыва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sTable" displayName="ServicesTable" ref="A4:G7" headerRowCount="1" totalsRowCount="0" totalsRowShown="0">
  <x:tableColumns count="7">
    <x:tableColumn id="1" name="ID услуги"/>
    <x:tableColumn id="2" name="Название"/>
    <x:tableColumn id="3" name="Кому подходит"/>
    <x:tableColumn id="4" name="Когда нужна консультация"/>
    <x:tableColumn id="5" name="CTA"/>
    <x:tableColumn id="6" name="Ссылка"/>
    <x:tableColumn id="7" name="Активн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estionsTable" displayName="QuestionsTable" ref="A4:F38" headerRowCount="1" totalsRowCount="0" totalsRowShown="0">
  <x:tableColumns count="6">
    <x:tableColumn id="1" name="ID вопроса"/>
    <x:tableColumn id="2" name="Текст вопроса"/>
    <x:tableColumn id="3" name="ID ответа"/>
    <x:tableColumn id="4" name="Текст ответа"/>
    <x:tableColumn id="5" name="Следующий вопрос"/>
    <x:tableColumn id="6" name="Активн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1c8dafed0e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0e42c742c14a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9147561e61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4e51e28d8a46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30eb932df1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66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8" customHeight="1">
      <x:c r="A1" s="2" t="str">
        <x:v>Редактор диагностики волос</x:v>
      </x:c>
    </x:row>
    <x:row r="3">
      <x:c r="A3" s="3" t="str">
        <x:v>Как работать с файлом</x:v>
      </x:c>
    </x:row>
    <x:row r="5">
      <x:c r="A5" s="41" t="str">
        <x:v>1</x:v>
      </x:c>
      <x:c r="B5" s="44" t="str">
        <x:v>Редактируйте только жёлтые ячейки</x:v>
      </x:c>
      <x:c r="C5" s="25" t="str">
        <x:v>Серые поля — служебные ID и связи. Их меняет разработчик.</x:v>
      </x:c>
    </x:row>
    <x:row r="6">
      <x:c r="A6" s="42" t="str">
        <x:v>2</x:v>
      </x:c>
      <x:c r="B6" s="45" t="str">
        <x:v>Поставьте статус «Черновик» во время работы</x:v>
      </x:c>
      <x:c r="C6" s="28" t="str">
        <x:v>Активной можно публиковать только рекомендацию со статусом «Готово».</x:v>
      </x:c>
    </x:row>
    <x:row r="7">
      <x:c r="A7" s="42" t="str">
        <x:v>3</x:v>
      </x:c>
      <x:c r="B7" s="45" t="str">
        <x:v>Проверьте пример</x:v>
      </x:c>
      <x:c r="C7" s="28" t="str">
        <x:v>На листе «Предпросмотр» выберите основной модуль, стоп-флаг и дополнения.</x:v>
      </x:c>
    </x:row>
    <x:row r="8">
      <x:c r="A8" s="42" t="str">
        <x:v>4</x:v>
      </x:c>
      <x:c r="B8" s="45" t="str">
        <x:v>Запустите проверку</x:v>
      </x:c>
      <x:c r="C8" s="28" t="str">
        <x:v>python scripts/manage_diagnostics_content.py validate</x:v>
      </x:c>
    </x:row>
    <x:row r="9">
      <x:c r="A9" s="43" t="str">
        <x:v>5</x:v>
      </x:c>
      <x:c r="B9" s="46" t="str">
        <x:v>Опубликуйте</x:v>
      </x:c>
      <x:c r="C9" s="31" t="str">
        <x:v>python scripts/manage_diagnostics_content.py publish</x:v>
      </x:c>
    </x:row>
    <x:row r="11">
      <x:c r="A11" s="3" t="str">
        <x:v>Что означают роли</x:v>
      </x:c>
    </x:row>
    <x:row r="13" ht="34" customHeight="1">
      <x:c r="A13" s="55" t="str">
        <x:v>Роль</x:v>
      </x:c>
      <x:c r="B13" s="56" t="str">
        <x:v>Сколько попадает в результат</x:v>
      </x:c>
      <x:c r="C13" s="57" t="str">
        <x:v>Назначение</x:v>
      </x:c>
    </x:row>
    <x:row r="14">
      <x:c r="A14" s="58" t="str">
        <x:v>Основная</x:v>
      </x:c>
      <x:c r="B14" s="24" t="str">
        <x:v>Ровно одна</x:v>
      </x:c>
      <x:c r="C14" s="25" t="str">
        <x:v>Главная проблема, которую выбрал клиент</x:v>
      </x:c>
    </x:row>
    <x:row r="15">
      <x:c r="A15" s="59" t="str">
        <x:v>Стоп-флаг</x:v>
      </x:c>
      <x:c r="B15" s="27" t="str">
        <x:v>Все актуальные</x:v>
      </x:c>
      <x:c r="C15" s="28" t="str">
        <x:v>Ограничения и ситуации, требующие осторожности</x:v>
      </x:c>
    </x:row>
    <x:row r="16">
      <x:c r="A16" s="60" t="str">
        <x:v>Дополнение</x:v>
      </x:c>
      <x:c r="B16" s="30" t="str">
        <x:v>Не более двух</x:v>
      </x:c>
      <x:c r="C16" s="31" t="str">
        <x:v>Укладка, длина и другой полезный контекст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25" hidden="0" customWidth="1"/>
    <x:col min="4" max="4" width="34" hidden="0" customWidth="1"/>
    <x:col min="5" max="5" width="54" hidden="0" customWidth="1"/>
    <x:col min="6" max="6" width="52" hidden="0" customWidth="1"/>
    <x:col min="7" max="7" width="52" hidden="0" customWidth="1"/>
    <x:col min="8" max="8" width="52" hidden="0" customWidth="1"/>
    <x:col min="9" max="9" width="48" hidden="0" customWidth="1"/>
    <x:col min="10" max="10" width="48" hidden="0" customWidth="1"/>
    <x:col min="11" max="11" width="46" hidden="0" customWidth="1"/>
    <x:col min="12" max="12" width="18" hidden="0" customWidth="1"/>
    <x:col min="13" max="13" width="12" hidden="0" customWidth="1"/>
    <x:col min="14" max="14" width="14" hidden="0" customWidth="1"/>
  </x:cols>
  <x:sheetData>
    <x:row r="1" ht="32" customHeight="1">
      <x:c r="A1" s="62" t="str">
        <x:v>Карточки рекомендаций</x:v>
      </x:c>
    </x:row>
    <x:row r="2" ht="36" customHeight="1">
      <x:c r="A2" s="66" t="str">
        <x:v>Жёлтые колонки заполняет заказчик. Серые служебные поля не меняйте без разработчика.</x:v>
      </x:c>
    </x:row>
    <x:row r="4" ht="34" customHeight="1">
      <x:c r="A4" s="55" t="str">
        <x:v>ID модуля</x:v>
      </x:c>
      <x:c r="B4" s="56" t="str">
        <x:v>Роль</x:v>
      </x:c>
      <x:c r="C4" s="56" t="str">
        <x:v>Ситуация</x:v>
      </x:c>
      <x:c r="D4" s="56" t="str">
        <x:v>Заголовок</x:v>
      </x:c>
      <x:c r="E4" s="56" t="str">
        <x:v>Краткое объяснение</x:v>
      </x:c>
      <x:c r="F4" s="56" t="str">
        <x:v>Шаг 1</x:v>
      </x:c>
      <x:c r="G4" s="56" t="str">
        <x:v>Шаг 2</x:v>
      </x:c>
      <x:c r="H4" s="56" t="str">
        <x:v>Шаг 3</x:v>
      </x:c>
      <x:c r="I4" s="56" t="str">
        <x:v>Осторожно 1</x:v>
      </x:c>
      <x:c r="J4" s="56" t="str">
        <x:v>Осторожно 2</x:v>
      </x:c>
      <x:c r="K4" s="56" t="str">
        <x:v>CTA</x:v>
      </x:c>
      <x:c r="L4" s="56" t="str">
        <x:v>Услуга ID</x:v>
      </x:c>
      <x:c r="M4" s="56" t="str">
        <x:v>Активно</x:v>
      </x:c>
      <x:c r="N4" s="57" t="str">
        <x:v>Статус</x:v>
      </x:c>
    </x:row>
    <x:row r="5">
      <x:c r="A5" s="67" t="str">
        <x:v>primary_volume</x:v>
      </x:c>
      <x:c r="B5" s="68" t="str">
        <x:v>Основная</x:v>
      </x:c>
      <x:c r="C5" s="73" t="str">
        <x:v>Не хватает объема</x:v>
      </x:c>
      <x:c r="D5" s="73" t="str">
        <x:v>Основная задача — прикорневой объем</x:v>
      </x:c>
      <x:c r="E5" s="73" t="str">
        <x:v>По ответам волосы быстро теряют объем. Это может быть связано с длиной, техникой сушки и тем, куда наносится уход.</x:v>
      </x:c>
      <x:c r="F5" s="73" t="str">
        <x:v>Наноси бальзам, маску и несмываемый уход только на длину, чтобы не утяжелять прикорневую зону.</x:v>
      </x:c>
      <x:c r="G5" s="73" t="str">
        <x:v>После мытья подсушивай корни феном хотя бы 1–2 минуты, слегка приподнимая волосы.</x:v>
      </x:c>
      <x:c r="H5" s="73" t="str">
        <x:v>Попробуй легкий спрей или мусс для объема, если волосы быстро ложатся к голове.</x:v>
      </x:c>
      <x:c r="I5" s="73" t="str">
        <x:v>Не наноси масла и плотные кремы близко к коже головы.</x:v>
      </x:c>
      <x:c r="J5" s="73" t="str">
        <x:v>Не суши волосы строго сверху вниз, если хочешь сохранить объем.</x:v>
      </x:c>
      <x:c r="K5" s="73" t="str">
        <x:v>Мастер может подсказать, какие процедуры не утяжелят волосы и сохранят легкость.</x:v>
      </x:c>
      <x:c r="L5" s="68" t="str"/>
      <x:c r="M5" s="73" t="str">
        <x:v>Да</x:v>
      </x:c>
      <x:c r="N5" s="76" t="str">
        <x:v>Готово</x:v>
      </x:c>
    </x:row>
    <x:row r="6">
      <x:c r="A6" s="69" t="str">
        <x:v>primary_oily_roots</x:v>
      </x:c>
      <x:c r="B6" s="70" t="str">
        <x:v>Основная</x:v>
      </x:c>
      <x:c r="C6" s="74" t="str">
        <x:v>Быстро жирнятся корни</x:v>
      </x:c>
      <x:c r="D6" s="74" t="str">
        <x:v>Главный фокус — свежесть корней</x:v>
      </x:c>
      <x:c r="E6" s="74" t="str">
        <x:v>Корни быстро теряют свежесть. Часто это связано не только с шампунем, но и с техникой мытья, стайлингом и сушкой прикорневой зоны.</x:v>
      </x:c>
      <x:c r="F6" s="74" t="str">
        <x:v>Подбирай шампунь под кожу головы, а не под сухость длины.</x:v>
      </x:c>
      <x:c r="G6" s="74" t="str">
        <x:v>Бальзам и маску наноси только на длину, отступая от корней.</x:v>
      </x:c>
      <x:c r="H6" s="74" t="str">
        <x:v>Если нет раздражения, периодически можно использовать более тщательное, но мягкое очищение кожи головы.</x:v>
      </x:c>
      <x:c r="I6" s="74" t="str">
        <x:v>Не наноси питательные маски на корни.</x:v>
      </x:c>
      <x:c r="J6" s="74" t="str">
        <x:v>Не пытайся решить жирность только редким мытьем, если кожа головы явно перегружается.</x:v>
      </x:c>
      <x:c r="K6" s="74" t="str">
        <x:v>На консультации можно подобрать отдельную схему ухода для кожи головы и длины.</x:v>
      </x:c>
      <x:c r="L6" s="70" t="str"/>
      <x:c r="M6" s="74" t="str">
        <x:v>Да</x:v>
      </x:c>
      <x:c r="N6" s="77" t="str">
        <x:v>Готово</x:v>
      </x:c>
    </x:row>
    <x:row r="7">
      <x:c r="A7" s="69" t="str">
        <x:v>primary_shape_control</x:v>
      </x:c>
      <x:c r="B7" s="70" t="str">
        <x:v>Основная</x:v>
      </x:c>
      <x:c r="C7" s="74" t="str">
        <x:v>Волосы плохо лежат</x:v>
      </x:c>
      <x:c r="D7" s="74" t="str">
        <x:v>Волосам не хватает управляемости</x:v>
      </x:c>
      <x:c r="E7" s="74" t="str">
        <x:v>Главная сложность похожа на форму: волосы торчат, мнутся, плохо лежат или быстро теряют укладку.</x:v>
      </x:c>
      <x:c r="F7" s="74" t="str">
        <x:v>Задавай направление волосам еще во влажном состоянии.</x:v>
      </x:c>
      <x:c r="G7" s="74" t="str">
        <x:v>При сушке феном используй прохладный финальный обдув, чтобы закрепить форму.</x:v>
      </x:c>
      <x:c r="H7" s="74" t="str">
        <x:v>Добавь легкий стайлинг без склейки: крем, спрей или флюид по длине.</x:v>
      </x:c>
      <x:c r="I7" s="74" t="str">
        <x:v>Не перегружай длину плотными маслами, если из-за них форма распадается.</x:v>
      </x:c>
      <x:c r="J7" s="74" t="str">
        <x:v>Не выглаживай корни слишком близко к коже, если нужен объем.</x:v>
      </x:c>
      <x:c r="K7" s="74" t="str">
        <x:v>Если хочется более предсказуемой формы, можно обсудить процедуру разглаживания или корректировку ухода.</x:v>
      </x:c>
      <x:c r="L7" s="70" t="str"/>
      <x:c r="M7" s="74" t="str">
        <x:v>Да</x:v>
      </x:c>
      <x:c r="N7" s="77" t="str">
        <x:v>Готово</x:v>
      </x:c>
    </x:row>
    <x:row r="8">
      <x:c r="A8" s="69" t="str">
        <x:v>primary_dry_length</x:v>
      </x:c>
      <x:c r="B8" s="70" t="str">
        <x:v>Основная</x:v>
      </x:c>
      <x:c r="C8" s="74" t="str">
        <x:v>Сухая и жесткая длина</x:v>
      </x:c>
      <x:c r="D8" s="74" t="str">
        <x:v>Длине не хватает мягкости и увлажнения</x:v>
      </x:c>
      <x:c r="E8" s="74" t="str">
        <x:v>По ответам основная сложность связана с сухостью и жесткостью длины. Здесь особенно важны регулярность ухода и защита от дополнительного повреждения.</x:v>
      </x:c>
      <x:c r="F8" s="74" t="str">
        <x:v>После каждого мытья используй кондиционер, а маску добавляй по потребности длины.</x:v>
      </x:c>
      <x:c r="G8" s="74" t="str">
        <x:v>Наноси несмываемый уход и термозащиту перед сушкой или горячей укладкой.</x:v>
      </x:c>
      <x:c r="H8" s="74" t="str">
        <x:v>Распутывай волосы бережно, начиная с концов.</x:v>
      </x:c>
      <x:c r="I8" s="74" t="str">
        <x:v>Не используй утюжок и плойку на влажных волосах.</x:v>
      </x:c>
      <x:c r="J8" s="74" t="str">
        <x:v>Не пытайся компенсировать сухость большим количеством масла: оно не заменяет увлажняющий уход.</x:v>
      </x:c>
      <x:c r="K8" s="74" t="str">
        <x:v>На консультации можно определить, чего длине сейчас не хватает: увлажнения, восстановления или защиты.</x:v>
      </x:c>
      <x:c r="L8" s="70" t="str"/>
      <x:c r="M8" s="74" t="str">
        <x:v>Да</x:v>
      </x:c>
      <x:c r="N8" s="77" t="str">
        <x:v>Готово</x:v>
      </x:c>
    </x:row>
    <x:row r="9">
      <x:c r="A9" s="69" t="str">
        <x:v>primary_balanced</x:v>
      </x:c>
      <x:c r="B9" s="70" t="str">
        <x:v>Основная</x:v>
      </x:c>
      <x:c r="C9" s="74" t="str">
        <x:v>Резервный результат</x:v>
      </x:c>
      <x:c r="D9" s="74" t="str">
        <x:v>Выраженной основной проблемы не видно</x:v>
      </x:c>
      <x:c r="E9" s="74" t="str">
        <x:v>По ответам нет одного ярко выраженного запроса. Можно сохранить простую базовую схему ухода и наблюдать за реакцией волос.</x:v>
      </x:c>
      <x:c r="F9" s="74" t="str">
        <x:v>Используй шампунь по коже головы, а кондиционер или маску — по длине.</x:v>
      </x:c>
      <x:c r="G9" s="74" t="str">
        <x:v>Меняй по одному средству за раз, чтобы понимать результат.</x:v>
      </x:c>
      <x:c r="H9" s="74" t="str">
        <x:v>Для выбора салонной процедуры лучше показать мастеру волосы на фото при дневном свете.</x:v>
      </x:c>
      <x:c r="I9" s="74" t="str">
        <x:v>Не выбирай процедуру только по названию, без учета состояния длины.</x:v>
      </x:c>
      <x:c r="J9" s="74" t="str"/>
      <x:c r="K9" s="74" t="str">
        <x:v>Можно написать в консультацию и уточнить, какая процедура будет уместнее.</x:v>
      </x:c>
      <x:c r="L9" s="70" t="str"/>
      <x:c r="M9" s="74" t="str">
        <x:v>Да</x:v>
      </x:c>
      <x:c r="N9" s="77" t="str">
        <x:v>Готово</x:v>
      </x:c>
    </x:row>
    <x:row r="10">
      <x:c r="A10" s="69" t="str">
        <x:v>alert_scalp_discomfort</x:v>
      </x:c>
      <x:c r="B10" s="70" t="str">
        <x:v>Стоп-флаг</x:v>
      </x:c>
      <x:c r="C10" s="74" t="str">
        <x:v>Дискомфорт кожи головы</x:v>
      </x:c>
      <x:c r="D10" s="74" t="str">
        <x:v>Коже головы нужно отдельное внимание</x:v>
      </x:c>
      <x:c r="E10" s="74" t="str">
        <x:v>Дискомфорт, зуд, стянутость или болезненность нельзя оценивать только как проблему длины волос.</x:v>
      </x:c>
      <x:c r="F10" s="74" t="str">
        <x:v>На время сократи масла, плотные маски и стайлинг у корней и наблюдай за состоянием кожи головы.</x:v>
      </x:c>
      <x:c r="G10" s="74" t="str"/>
      <x:c r="H10" s="74" t="str"/>
      <x:c r="I10" s="74" t="str">
        <x:v>Не выбирай агрессивное очищение или выпрямляющую процедуру до выяснения причины дискомфорта.</x:v>
      </x:c>
      <x:c r="J10" s="74" t="str"/>
      <x:c r="K10" s="74" t="str">
        <x:v>Напиши в консультацию; при повторяющемся дискомфорте может потребоваться обращение к профильному специалисту.</x:v>
      </x:c>
      <x:c r="L10" s="70" t="str"/>
      <x:c r="M10" s="74" t="str">
        <x:v>Да</x:v>
      </x:c>
      <x:c r="N10" s="77" t="str">
        <x:v>Готово</x:v>
      </x:c>
    </x:row>
    <x:row r="11">
      <x:c r="A11" s="69" t="str">
        <x:v>alert_chemical_damage</x:v>
      </x:c>
      <x:c r="B11" s="70" t="str">
        <x:v>Стоп-флаг</x:v>
      </x:c>
      <x:c r="C11" s="74" t="str">
        <x:v>Высокая химическая нагрузка</x:v>
      </x:c>
      <x:c r="D11" s="74" t="str">
        <x:v>Длине нужна осторожная оценка перед процедурой</x:v>
      </x:c>
      <x:c r="E11" s="74" t="str">
        <x:v>В ответах есть признаки осветления, смывки или заметной химической нагрузки.</x:v>
      </x:c>
      <x:c r="F11" s="74" t="str">
        <x:v>Перед процедурой покажи мастеру фото волос при дневном свете и подробно опиши историю окрашиваний.</x:v>
      </x:c>
      <x:c r="G11" s="74" t="str"/>
      <x:c r="H11" s="74" t="str"/>
      <x:c r="I11" s="74" t="str">
        <x:v>Не совмещай новое осветление и интенсивное выпрямление без паузы и очной диагностики.</x:v>
      </x:c>
      <x:c r="J11" s="74" t="str"/>
      <x:c r="K11" s="74" t="str">
        <x:v>Безопасный следующий шаг — консультация с оценкой состояния длины.</x:v>
      </x:c>
      <x:c r="L11" s="70" t="str"/>
      <x:c r="M11" s="74" t="str">
        <x:v>Да</x:v>
      </x:c>
      <x:c r="N11" s="77" t="str">
        <x:v>Готово</x:v>
      </x:c>
    </x:row>
    <x:row r="12">
      <x:c r="A12" s="69" t="str">
        <x:v>alert_uncertain_state</x:v>
      </x:c>
      <x:c r="B12" s="70" t="str">
        <x:v>Стоп-флаг</x:v>
      </x:c>
      <x:c r="C12" s="74" t="str">
        <x:v>Состояние волос неизвестно</x:v>
      </x:c>
      <x:c r="D12" s="74" t="str">
        <x:v>Перед процедурой лучше уточнить историю волос</x:v>
      </x:c>
      <x:c r="E12" s="74" t="str">
        <x:v>Если сложно определить состояние окрашивания, рекомендация по процедуре требует фотографии и нескольких уточнений.</x:v>
      </x:c>
      <x:c r="F12" s="74" t="str">
        <x:v>Подготовь фото длины при дневном свете и вспомни последние окрашивания или осветления.</x:v>
      </x:c>
      <x:c r="G12" s="74" t="str"/>
      <x:c r="H12" s="74" t="str"/>
      <x:c r="I12" s="74" t="str">
        <x:v>Не выбирай интенсивную процедуру без уточнения истории волос.</x:v>
      </x:c>
      <x:c r="J12" s="74" t="str"/>
      <x:c r="K12" s="74" t="str">
        <x:v>Напиши в консультацию — мастер поможет определить текущее состояние волос.</x:v>
      </x:c>
      <x:c r="L12" s="70" t="str"/>
      <x:c r="M12" s="74" t="str">
        <x:v>Да</x:v>
      </x:c>
      <x:c r="N12" s="77" t="str">
        <x:v>Готово</x:v>
      </x:c>
    </x:row>
    <x:row r="13">
      <x:c r="A13" s="69" t="str">
        <x:v>addon_styling_residue</x:v>
      </x:c>
      <x:c r="B13" s="70" t="str">
        <x:v>Дополнение</x:v>
      </x:c>
      <x:c r="C13" s="74" t="str">
        <x:v>Ежедневное смывание стайлинга</x:v>
      </x:c>
      <x:c r="D13" s="74" t="str">
        <x:v>Стайлинг может накапливаться у корней</x:v>
      </x:c>
      <x:c r="E13" s="74" t="str">
        <x:v>Ежедневное ощущение загрязненности после укладки может быть связано с количеством и текстурой стайлинга.</x:v>
      </x:c>
      <x:c r="F13" s="74" t="str">
        <x:v>Попробуй уменьшить количество стайлинга и наносить его дальше от кожи головы.</x:v>
      </x:c>
      <x:c r="G13" s="74" t="str"/>
      <x:c r="H13" s="74" t="str"/>
      <x:c r="I13" s="74" t="str">
        <x:v>Не усиливай очищение сразу несколькими агрессивными средствами.</x:v>
      </x:c>
      <x:c r="J13" s="74" t="str"/>
      <x:c r="K13" s="74" t="str"/>
      <x:c r="L13" s="70" t="str"/>
      <x:c r="M13" s="74" t="str">
        <x:v>Да</x:v>
      </x:c>
      <x:c r="N13" s="77" t="str">
        <x:v>Готово</x:v>
      </x:c>
    </x:row>
    <x:row r="14">
      <x:c r="A14" s="69" t="str">
        <x:v>addon_hot_tools</x:v>
      </x:c>
      <x:c r="B14" s="70" t="str">
        <x:v>Дополнение</x:v>
      </x:c>
      <x:c r="C14" s="74" t="str">
        <x:v>Утюжок или плойка</x:v>
      </x:c>
      <x:c r="D14" s="74" t="str">
        <x:v>Горячая укладка требует дополнительной защиты</x:v>
      </x:c>
      <x:c r="E14" s="74" t="str">
        <x:v>Частое использование утюжка или плойки усиливает сухость и делает поврежденную длину более уязвимой.</x:v>
      </x:c>
      <x:c r="F14" s="74" t="str">
        <x:v>Перед каждым использованием горячего инструмента наноси термозащиту и выбирай минимально достаточную температуру.</x:v>
      </x:c>
      <x:c r="G14" s="74" t="str"/>
      <x:c r="H14" s="74" t="str"/>
      <x:c r="I14" s="74" t="str">
        <x:v>Не проходи многократно по одной пряди и не используй горячий инструмент на влажных волосах.</x:v>
      </x:c>
      <x:c r="J14" s="74" t="str"/>
      <x:c r="K14" s="74" t="str"/>
      <x:c r="L14" s="70" t="str"/>
      <x:c r="M14" s="74" t="str">
        <x:v>Да</x:v>
      </x:c>
      <x:c r="N14" s="77" t="str">
        <x:v>Готово</x:v>
      </x:c>
    </x:row>
    <x:row r="15">
      <x:c r="A15" s="69" t="str">
        <x:v>addon_air_dry</x:v>
      </x:c>
      <x:c r="B15" s="70" t="str">
        <x:v>Дополнение</x:v>
      </x:c>
      <x:c r="C15" s="74" t="str">
        <x:v>Естественная сушка</x:v>
      </x:c>
      <x:c r="D15" s="74" t="str">
        <x:v>Естественной сушке тоже можно задать форму</x:v>
      </x:c>
      <x:c r="E15" s="74" t="str">
        <x:v>Когда волосы высыхают без заданного направления, они могут быстрее терять объем и лежать менее аккуратно.</x:v>
      </x:c>
      <x:c r="F15" s="74" t="str">
        <x:v>Пока волосы влажные, задай пробор и направление прядей, а корни слегка приподними пальцами.</x:v>
      </x:c>
      <x:c r="G15" s="74" t="str"/>
      <x:c r="H15" s="74" t="str"/>
      <x:c r="I15" s="74" t="str"/>
      <x:c r="J15" s="74" t="str"/>
      <x:c r="K15" s="74" t="str"/>
      <x:c r="L15" s="70" t="str"/>
      <x:c r="M15" s="74" t="str">
        <x:v>Да</x:v>
      </x:c>
      <x:c r="N15" s="77" t="str">
        <x:v>Готово</x:v>
      </x:c>
    </x:row>
    <x:row r="16">
      <x:c r="A16" s="69" t="str">
        <x:v>addon_blow_dry</x:v>
      </x:c>
      <x:c r="B16" s="70" t="str">
        <x:v>Дополнение</x:v>
      </x:c>
      <x:c r="C16" s="74" t="str">
        <x:v>Фен без подъема корней</x:v>
      </x:c>
      <x:c r="D16" s="74" t="str">
        <x:v>Техника сушки может поддержать объем</x:v>
      </x:c>
      <x:c r="E16" s="74" t="str">
        <x:v>Если фен только высушивает длину сверху вниз, корни часто остаются плотно прижатыми к голове.</x:v>
      </x:c>
      <x:c r="F16" s="74" t="str">
        <x:v>Суши корни в разных направлениях и слегка приподнимай их пальцами или щеткой.</x:v>
      </x:c>
      <x:c r="G16" s="74" t="str"/>
      <x:c r="H16" s="74" t="str"/>
      <x:c r="I16" s="74" t="str">
        <x:v>Не держи горячий поток слишком близко к коже головы и одной точке.</x:v>
      </x:c>
      <x:c r="J16" s="74" t="str"/>
      <x:c r="K16" s="74" t="str"/>
      <x:c r="L16" s="70" t="str"/>
      <x:c r="M16" s="74" t="str">
        <x:v>Да</x:v>
      </x:c>
      <x:c r="N16" s="77" t="str">
        <x:v>Готово</x:v>
      </x:c>
    </x:row>
    <x:row r="17">
      <x:c r="A17" s="69" t="str">
        <x:v>addon_brushing</x:v>
      </x:c>
      <x:c r="B17" s="70" t="str">
        <x:v>Дополнение</x:v>
      </x:c>
      <x:c r="C17" s="74" t="str">
        <x:v>Фен и брашинг</x:v>
      </x:c>
      <x:c r="D17" s="74" t="str">
        <x:v>Брашинг уже поддерживает форму — важна фиксация</x:v>
      </x:c>
      <x:c r="E17" s="74" t="str">
        <x:v>Объем после брашинга держится лучше, если начинать с подсушенных волос и завершать прохладным воздухом.</x:v>
      </x:c>
      <x:c r="F17" s="74" t="str">
        <x:v>Сначала подсуши волосы, затем работай брашингом и в конце закрепи форму прохладным воздухом.</x:v>
      </x:c>
      <x:c r="G17" s="74" t="str"/>
      <x:c r="H17" s="74" t="str"/>
      <x:c r="I17" s="74" t="str">
        <x:v>Не вытягивай одну прядь долго на максимальной температуре.</x:v>
      </x:c>
      <x:c r="J17" s="74" t="str"/>
      <x:c r="K17" s="74" t="str"/>
      <x:c r="L17" s="70" t="str"/>
      <x:c r="M17" s="74" t="str">
        <x:v>Да</x:v>
      </x:c>
      <x:c r="N17" s="77" t="str">
        <x:v>Готово</x:v>
      </x:c>
    </x:row>
    <x:row r="18">
      <x:c r="A18" s="71" t="str">
        <x:v>addon_long_hair</x:v>
      </x:c>
      <x:c r="B18" s="72" t="str">
        <x:v>Дополнение</x:v>
      </x:c>
      <x:c r="C18" s="75" t="str">
        <x:v>Длинные волосы</x:v>
      </x:c>
      <x:c r="D18" s="75" t="str">
        <x:v>Длинной длине нужен отдельный акцент на защите</x:v>
      </x:c>
      <x:c r="E18" s="75" t="str">
        <x:v>Чем длиннее волосы, тем больше на концах накопленного механического и температурного воздействия.</x:v>
      </x:c>
      <x:c r="F18" s="75" t="str">
        <x:v>Распутывай длину с концов, защищай ее от трения и регулярно оценивай состояние самых старых участков.</x:v>
      </x:c>
      <x:c r="G18" s="75" t="str"/>
      <x:c r="H18" s="75" t="str"/>
      <x:c r="I18" s="75" t="str"/>
      <x:c r="J18" s="75" t="str"/>
      <x:c r="K18" s="75" t="str"/>
      <x:c r="L18" s="72" t="str"/>
      <x:c r="M18" s="75" t="str">
        <x:v>Да</x:v>
      </x:c>
      <x:c r="N18" s="78" t="str">
        <x:v>Готово</x:v>
      </x:c>
    </x:row>
  </x:sheetData>
  <x:mergeCells>
    <x:mergeCell ref="A1:N1"/>
    <x:mergeCell ref="A2:N2"/>
  </x:mergeCells>
  <x:conditionalFormatting sqref="N5:N18">
    <x:cfRule type="containsText" dxfId="0" priority="1" operator="containsText" text="Черновик"/>
  </x:conditionalFormatting>
  <x:dataValidations count="3">
    <x:dataValidation type="list" sqref="B5:B18">
      <x:formula1>"Основная,Стоп-флаг,Дополнение"</x:formula1>
    </x:dataValidation>
    <x:dataValidation type="list" sqref="M5:M18">
      <x:formula1>"Да,Нет"</x:formula1>
    </x:dataValidation>
    <x:dataValidation type="list" sqref="N5:N18">
      <x:formula1>"Готово,Черновик"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1c8dafed0e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92" hidden="0" customWidth="1"/>
    <x:col min="4" max="4" width="14" hidden="0" customWidth="1"/>
    <x:col min="5" max="5" width="16" hidden="0" customWidth="1"/>
  </x:cols>
  <x:sheetData>
    <x:row r="1" ht="32" customHeight="1">
      <x:c r="A1" s="62" t="str">
        <x:v>Общие тексты и ограничения</x:v>
      </x:c>
    </x:row>
    <x:row r="2" ht="36" customHeight="1">
      <x:c r="A2" s="66" t="str">
        <x:v>Редактируйте значения. Ключи используются системой и остаются неизменными.</x:v>
      </x:c>
    </x:row>
    <x:row r="4" ht="34" customHeight="1">
      <x:c r="A4" s="55" t="str">
        <x:v>Ключ</x:v>
      </x:c>
      <x:c r="B4" s="56" t="str">
        <x:v>Название</x:v>
      </x:c>
      <x:c r="C4" s="56" t="str">
        <x:v>Значение</x:v>
      </x:c>
      <x:c r="D4" s="56" t="str">
        <x:v>Тип</x:v>
      </x:c>
      <x:c r="E4" s="57" t="str">
        <x:v>Обязательно</x:v>
      </x:c>
    </x:row>
    <x:row r="5">
      <x:c r="A5" s="67" t="str">
        <x:v>start_question_id</x:v>
      </x:c>
      <x:c r="B5" s="79" t="str">
        <x:v>Стартовый вопрос</x:v>
      </x:c>
      <x:c r="C5" s="73" t="str">
        <x:v>1</x:v>
      </x:c>
      <x:c r="D5" s="68" t="str">
        <x:v>Текст</x:v>
      </x:c>
      <x:c r="E5" s="82" t="str">
        <x:v>Да</x:v>
      </x:c>
    </x:row>
    <x:row r="6">
      <x:c r="A6" s="69" t="str">
        <x:v>facts_title</x:v>
      </x:c>
      <x:c r="B6" s="80" t="str">
        <x:v>Заголовок учтённых фактов</x:v>
      </x:c>
      <x:c r="C6" s="74" t="str">
        <x:v>Что я учла:</x:v>
      </x:c>
      <x:c r="D6" s="70" t="str">
        <x:v>Текст</x:v>
      </x:c>
      <x:c r="E6" s="83" t="str">
        <x:v>Да</x:v>
      </x:c>
    </x:row>
    <x:row r="7">
      <x:c r="A7" s="69" t="str">
        <x:v>alerts_title</x:v>
      </x:c>
      <x:c r="B7" s="80" t="str">
        <x:v>Заголовок стоп-флагов</x:v>
      </x:c>
      <x:c r="C7" s="74" t="str">
        <x:v>На что важно обратить внимание:</x:v>
      </x:c>
      <x:c r="D7" s="70" t="str">
        <x:v>Текст</x:v>
      </x:c>
      <x:c r="E7" s="83" t="str">
        <x:v>Да</x:v>
      </x:c>
    </x:row>
    <x:row r="8">
      <x:c r="A8" s="69" t="str">
        <x:v>addons_title</x:v>
      </x:c>
      <x:c r="B8" s="80" t="str">
        <x:v>Заголовок дополнений</x:v>
      </x:c>
      <x:c r="C8" s="74" t="str">
        <x:v>Дополнительно по твоим ответам:</x:v>
      </x:c>
      <x:c r="D8" s="70" t="str">
        <x:v>Текст</x:v>
      </x:c>
      <x:c r="E8" s="83" t="str">
        <x:v>Да</x:v>
      </x:c>
    </x:row>
    <x:row r="9">
      <x:c r="A9" s="69" t="str">
        <x:v>actions_title</x:v>
      </x:c>
      <x:c r="B9" s="80" t="str">
        <x:v>Заголовок действий</x:v>
      </x:c>
      <x:c r="C9" s="74" t="str">
        <x:v>Что можно попробовать:</x:v>
      </x:c>
      <x:c r="D9" s="70" t="str">
        <x:v>Текст</x:v>
      </x:c>
      <x:c r="E9" s="83" t="str">
        <x:v>Да</x:v>
      </x:c>
    </x:row>
    <x:row r="10">
      <x:c r="A10" s="69" t="str">
        <x:v>cautions_title</x:v>
      </x:c>
      <x:c r="B10" s="80" t="str">
        <x:v>Заголовок ограничений</x:v>
      </x:c>
      <x:c r="C10" s="74" t="str">
        <x:v>С чем лучше аккуратнее:</x:v>
      </x:c>
      <x:c r="D10" s="70" t="str">
        <x:v>Текст</x:v>
      </x:c>
      <x:c r="E10" s="83" t="str">
        <x:v>Да</x:v>
      </x:c>
    </x:row>
    <x:row r="11">
      <x:c r="A11" s="69" t="str">
        <x:v>max_addons</x:v>
      </x:c>
      <x:c r="B11" s="80" t="str">
        <x:v>Максимум дополнений</x:v>
      </x:c>
      <x:c r="C11" s="74" t="n">
        <x:v>2</x:v>
      </x:c>
      <x:c r="D11" s="70" t="str">
        <x:v>Число</x:v>
      </x:c>
      <x:c r="E11" s="83" t="str">
        <x:v>Да</x:v>
      </x:c>
    </x:row>
    <x:row r="12">
      <x:c r="A12" s="69" t="str">
        <x:v>max_actions</x:v>
      </x:c>
      <x:c r="B12" s="80" t="str">
        <x:v>Максимум действий</x:v>
      </x:c>
      <x:c r="C12" s="74" t="n">
        <x:v>5</x:v>
      </x:c>
      <x:c r="D12" s="70" t="str">
        <x:v>Число</x:v>
      </x:c>
      <x:c r="E12" s="83" t="str">
        <x:v>Да</x:v>
      </x:c>
    </x:row>
    <x:row r="13">
      <x:c r="A13" s="69" t="str">
        <x:v>max_cautions</x:v>
      </x:c>
      <x:c r="B13" s="80" t="str">
        <x:v>Максимум ограничений</x:v>
      </x:c>
      <x:c r="C13" s="74" t="n">
        <x:v>3</x:v>
      </x:c>
      <x:c r="D13" s="70" t="str">
        <x:v>Число</x:v>
      </x:c>
      <x:c r="E13" s="83" t="str">
        <x:v>Да</x:v>
      </x:c>
    </x:row>
    <x:row r="14">
      <x:c r="A14" s="71" t="str">
        <x:v>footer</x:v>
      </x:c>
      <x:c r="B14" s="81" t="str">
        <x:v>Общий дисклеймер</x:v>
      </x:c>
      <x:c r="C14" s="75" t="str">
        <x:v>Это предварительная диагностика по ответам в боте. Она помогает сориентироваться, но точный подбор процедуры лучше делать после фото или консультации.</x:v>
      </x:c>
      <x:c r="D14" s="72" t="str">
        <x:v>Текст</x:v>
      </x:c>
      <x:c r="E14" s="84" t="str">
        <x:v>Да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90e42c742c14a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72" hidden="0" customWidth="1"/>
    <x:col min="5" max="5" width="16" hidden="0" customWidth="1"/>
  </x:cols>
  <x:sheetData>
    <x:row r="1" ht="32" customHeight="1">
      <x:c r="A1" s="62" t="str">
        <x:v>Фразы, которые видит клиент</x:v>
      </x:c>
    </x:row>
    <x:row r="2" ht="36" customHeight="1">
      <x:c r="A2" s="66" t="str">
        <x:v>Меняйте названия разделов и клиентские формулировки. ID остаются неизменными.</x:v>
      </x:c>
    </x:row>
    <x:row r="4" ht="34" customHeight="1">
      <x:c r="A4" s="55" t="str">
        <x:v>Группа ID</x:v>
      </x:c>
      <x:c r="B4" s="56" t="str">
        <x:v>Значение ID</x:v>
      </x:c>
      <x:c r="C4" s="56" t="str">
        <x:v>Раздел</x:v>
      </x:c>
      <x:c r="D4" s="56" t="str">
        <x:v>Фраза для клиента</x:v>
      </x:c>
      <x:c r="E4" s="57" t="str">
        <x:v>Показывать</x:v>
      </x:c>
    </x:row>
    <x:row r="5">
      <x:c r="A5" s="67" t="str">
        <x:v>hair_state</x:v>
      </x:c>
      <x:c r="B5" s="68" t="str">
        <x:v>natural</x:v>
      </x:c>
      <x:c r="C5" s="73" t="str">
        <x:v>Состояние волос</x:v>
      </x:c>
      <x:c r="D5" s="73" t="str">
        <x:v>натуральные волосы</x:v>
      </x:c>
      <x:c r="E5" s="76" t="str">
        <x:v>Да</x:v>
      </x:c>
    </x:row>
    <x:row r="6">
      <x:c r="A6" s="69" t="str">
        <x:v>hair_state</x:v>
      </x:c>
      <x:c r="B6" s="70" t="str">
        <x:v>colored</x:v>
      </x:c>
      <x:c r="C6" s="74" t="str">
        <x:v>Состояние волос</x:v>
      </x:c>
      <x:c r="D6" s="74" t="str">
        <x:v>окрашенные волосы без блонда</x:v>
      </x:c>
      <x:c r="E6" s="77" t="str">
        <x:v>Да</x:v>
      </x:c>
    </x:row>
    <x:row r="7">
      <x:c r="A7" s="69" t="str">
        <x:v>hair_state</x:v>
      </x:c>
      <x:c r="B7" s="70" t="str">
        <x:v>growing_out_color</x:v>
      </x:c>
      <x:c r="C7" s="74" t="str">
        <x:v>Состояние волос</x:v>
      </x:c>
      <x:c r="D7" s="74" t="str">
        <x:v>окрашенная длина и отрастающий натуральный цвет</x:v>
      </x:c>
      <x:c r="E7" s="77" t="str">
        <x:v>Да</x:v>
      </x:c>
    </x:row>
    <x:row r="8">
      <x:c r="A8" s="69" t="str">
        <x:v>hair_state</x:v>
      </x:c>
      <x:c r="B8" s="70" t="str">
        <x:v>full_blond</x:v>
      </x:c>
      <x:c r="C8" s="74" t="str">
        <x:v>Состояние волос</x:v>
      </x:c>
      <x:c r="D8" s="74" t="str">
        <x:v>осветленные волосы по всей длине</x:v>
      </x:c>
      <x:c r="E8" s="77" t="str">
        <x:v>Да</x:v>
      </x:c>
    </x:row>
    <x:row r="9">
      <x:c r="A9" s="69" t="str">
        <x:v>hair_state</x:v>
      </x:c>
      <x:c r="B9" s="70" t="str">
        <x:v>partial_blond</x:v>
      </x:c>
      <x:c r="C9" s="74" t="str">
        <x:v>Состояние волос</x:v>
      </x:c>
      <x:c r="D9" s="74" t="str">
        <x:v>частичное осветление или мелирование</x:v>
      </x:c>
      <x:c r="E9" s="77" t="str">
        <x:v>Да</x:v>
      </x:c>
    </x:row>
    <x:row r="10">
      <x:c r="A10" s="69" t="str">
        <x:v>hair_state</x:v>
      </x:c>
      <x:c r="B10" s="70" t="str">
        <x:v>recent_lightening</x:v>
      </x:c>
      <x:c r="C10" s="74" t="str">
        <x:v>Состояние волос</x:v>
      </x:c>
      <x:c r="D10" s="74" t="str">
        <x:v>недавнее осветление или смывка цвета</x:v>
      </x:c>
      <x:c r="E10" s="77" t="str">
        <x:v>Да</x:v>
      </x:c>
    </x:row>
    <x:row r="11">
      <x:c r="A11" s="69" t="str">
        <x:v>hair_state</x:v>
      </x:c>
      <x:c r="B11" s="70" t="str">
        <x:v>unknown</x:v>
      </x:c>
      <x:c r="C11" s="74" t="str">
        <x:v>Состояние волос</x:v>
      </x:c>
      <x:c r="D11" s="74" t="str">
        <x:v>состояние окрашивания пока неясно</x:v>
      </x:c>
      <x:c r="E11" s="77" t="str">
        <x:v>Да</x:v>
      </x:c>
    </x:row>
    <x:row r="12">
      <x:c r="A12" s="69" t="str">
        <x:v>length</x:v>
      </x:c>
      <x:c r="B12" s="70" t="str">
        <x:v>short</x:v>
      </x:c>
      <x:c r="C12" s="74" t="str">
        <x:v>Длина</x:v>
      </x:c>
      <x:c r="D12" s="74" t="str">
        <x:v>короткая длина</x:v>
      </x:c>
      <x:c r="E12" s="77" t="str">
        <x:v>Да</x:v>
      </x:c>
    </x:row>
    <x:row r="13">
      <x:c r="A13" s="69" t="str">
        <x:v>length</x:v>
      </x:c>
      <x:c r="B13" s="70" t="str">
        <x:v>medium</x:v>
      </x:c>
      <x:c r="C13" s="74" t="str">
        <x:v>Длина</x:v>
      </x:c>
      <x:c r="D13" s="74" t="str">
        <x:v>средняя длина</x:v>
      </x:c>
      <x:c r="E13" s="77" t="str">
        <x:v>Да</x:v>
      </x:c>
    </x:row>
    <x:row r="14">
      <x:c r="A14" s="69" t="str">
        <x:v>length</x:v>
      </x:c>
      <x:c r="B14" s="70" t="str">
        <x:v>long</x:v>
      </x:c>
      <x:c r="C14" s="74" t="str">
        <x:v>Длина</x:v>
      </x:c>
      <x:c r="D14" s="74" t="str">
        <x:v>длинные волосы</x:v>
      </x:c>
      <x:c r="E14" s="77" t="str">
        <x:v>Да</x:v>
      </x:c>
    </x:row>
    <x:row r="15">
      <x:c r="A15" s="69" t="str">
        <x:v>length</x:v>
      </x:c>
      <x:c r="B15" s="70" t="str">
        <x:v>very_long</x:v>
      </x:c>
      <x:c r="C15" s="74" t="str">
        <x:v>Длина</x:v>
      </x:c>
      <x:c r="D15" s="74" t="str">
        <x:v>очень длинные волосы</x:v>
      </x:c>
      <x:c r="E15" s="77" t="str">
        <x:v>Да</x:v>
      </x:c>
    </x:row>
    <x:row r="16">
      <x:c r="A16" s="69" t="str">
        <x:v>main_problem</x:v>
      </x:c>
      <x:c r="B16" s="70" t="str">
        <x:v>no_volume</x:v>
      </x:c>
      <x:c r="C16" s="74" t="str">
        <x:v>Основной запрос</x:v>
      </x:c>
      <x:c r="D16" s="74" t="str">
        <x:v>не хватает объема</x:v>
      </x:c>
      <x:c r="E16" s="77" t="str">
        <x:v>Да</x:v>
      </x:c>
    </x:row>
    <x:row r="17">
      <x:c r="A17" s="69" t="str">
        <x:v>main_problem</x:v>
      </x:c>
      <x:c r="B17" s="70" t="str">
        <x:v>oily_roots</x:v>
      </x:c>
      <x:c r="C17" s="74" t="str">
        <x:v>Основной запрос</x:v>
      </x:c>
      <x:c r="D17" s="74" t="str">
        <x:v>быстро жирнятся корни</x:v>
      </x:c>
      <x:c r="E17" s="77" t="str">
        <x:v>Да</x:v>
      </x:c>
    </x:row>
    <x:row r="18">
      <x:c r="A18" s="69" t="str">
        <x:v>main_problem</x:v>
      </x:c>
      <x:c r="B18" s="70" t="str">
        <x:v>shape_control</x:v>
      </x:c>
      <x:c r="C18" s="74" t="str">
        <x:v>Основной запрос</x:v>
      </x:c>
      <x:c r="D18" s="74" t="str">
        <x:v>волосы плохо лежат и сложно укладываются</x:v>
      </x:c>
      <x:c r="E18" s="77" t="str">
        <x:v>Да</x:v>
      </x:c>
    </x:row>
    <x:row r="19">
      <x:c r="A19" s="69" t="str">
        <x:v>main_problem</x:v>
      </x:c>
      <x:c r="B19" s="70" t="str">
        <x:v>dryness</x:v>
      </x:c>
      <x:c r="C19" s="74" t="str">
        <x:v>Основной запрос</x:v>
      </x:c>
      <x:c r="D19" s="74" t="str">
        <x:v>волосы жесткие и сухие на ощупь</x:v>
      </x:c>
      <x:c r="E19" s="77" t="str">
        <x:v>Да</x:v>
      </x:c>
    </x:row>
    <x:row r="20">
      <x:c r="A20" s="69" t="str">
        <x:v>wash_frequency</x:v>
      </x:c>
      <x:c r="B20" s="70" t="str">
        <x:v>daily</x:v>
      </x:c>
      <x:c r="C20" s="74" t="str">
        <x:v>Частота мытья</x:v>
      </x:c>
      <x:c r="D20" s="74" t="str">
        <x:v>моешь голову каждый день</x:v>
      </x:c>
      <x:c r="E20" s="77" t="str">
        <x:v>Да</x:v>
      </x:c>
    </x:row>
    <x:row r="21">
      <x:c r="A21" s="69" t="str">
        <x:v>wash_frequency</x:v>
      </x:c>
      <x:c r="B21" s="70" t="str">
        <x:v>every_other_day</x:v>
      </x:c>
      <x:c r="C21" s="74" t="str">
        <x:v>Частота мытья</x:v>
      </x:c>
      <x:c r="D21" s="74" t="str">
        <x:v>моешь голову через день</x:v>
      </x:c>
      <x:c r="E21" s="77" t="str">
        <x:v>Да</x:v>
      </x:c>
    </x:row>
    <x:row r="22">
      <x:c r="A22" s="69" t="str">
        <x:v>wash_frequency</x:v>
      </x:c>
      <x:c r="B22" s="70" t="str">
        <x:v>every_3_4_days</x:v>
      </x:c>
      <x:c r="C22" s="74" t="str">
        <x:v>Частота мытья</x:v>
      </x:c>
      <x:c r="D22" s="74" t="str">
        <x:v>моешь голову раз в 3-4 дня</x:v>
      </x:c>
      <x:c r="E22" s="77" t="str">
        <x:v>Да</x:v>
      </x:c>
    </x:row>
    <x:row r="23">
      <x:c r="A23" s="69" t="str">
        <x:v>styling</x:v>
      </x:c>
      <x:c r="B23" s="70" t="str">
        <x:v>air_dry</x:v>
      </x:c>
      <x:c r="C23" s="74" t="str">
        <x:v>Укладка</x:v>
      </x:c>
      <x:c r="D23" s="74" t="str">
        <x:v>чаще сушишь естественно</x:v>
      </x:c>
      <x:c r="E23" s="77" t="str">
        <x:v>Да</x:v>
      </x:c>
    </x:row>
    <x:row r="24">
      <x:c r="A24" s="69" t="str">
        <x:v>styling</x:v>
      </x:c>
      <x:c r="B24" s="70" t="str">
        <x:v>blow_dry_no_roots</x:v>
      </x:c>
      <x:c r="C24" s="74" t="str">
        <x:v>Укладка</x:v>
      </x:c>
      <x:c r="D24" s="74" t="str">
        <x:v>используешь фен без приподнимания корней</x:v>
      </x:c>
      <x:c r="E24" s="77" t="str">
        <x:v>Да</x:v>
      </x:c>
    </x:row>
    <x:row r="25">
      <x:c r="A25" s="69" t="str">
        <x:v>styling</x:v>
      </x:c>
      <x:c r="B25" s="70" t="str">
        <x:v>brushing</x:v>
      </x:c>
      <x:c r="C25" s="74" t="str">
        <x:v>Укладка</x:v>
      </x:c>
      <x:c r="D25" s="74" t="str">
        <x:v>укладываешь феном и брашингом</x:v>
      </x:c>
      <x:c r="E25" s="77" t="str">
        <x:v>Да</x:v>
      </x:c>
    </x:row>
    <x:row r="26">
      <x:c r="A26" s="71" t="str">
        <x:v>styling</x:v>
      </x:c>
      <x:c r="B26" s="72" t="str">
        <x:v>hot_tools</x:v>
      </x:c>
      <x:c r="C26" s="75" t="str">
        <x:v>Укладка</x:v>
      </x:c>
      <x:c r="D26" s="75" t="str">
        <x:v>часто используешь утюжок или плойку</x:v>
      </x:c>
      <x:c r="E26" s="78" t="str">
        <x:v>Да</x:v>
      </x:c>
    </x:row>
  </x:sheetData>
  <x:mergeCells>
    <x:mergeCell ref="A1:E1"/>
    <x:mergeCell ref="A2:E2"/>
  </x:mergeCells>
  <x:dataValidations count="1">
    <x:dataValidation type="list" sqref="E5:E26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9147561e614e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56" hidden="0" customWidth="1"/>
    <x:col min="5" max="5" width="44" hidden="0" customWidth="1"/>
    <x:col min="6" max="6" width="35" hidden="0" customWidth="1"/>
    <x:col min="7" max="7" width="14" hidden="0" customWidth="1"/>
  </x:cols>
  <x:sheetData>
    <x:row r="1" ht="32" customHeight="1">
      <x:c r="A1" s="62" t="str">
        <x:v>Каталог услуг</x:v>
      </x:c>
    </x:row>
    <x:row r="2" ht="36" customHeight="1">
      <x:c r="A2" s="66" t="str">
        <x:v>Карточки предварительно заполнены текущими данными. Ограничения и формулировки необходимо подтвердить у мастера.</x:v>
      </x:c>
    </x:row>
    <x:row r="4" ht="34" customHeight="1">
      <x:c r="A4" s="55" t="str">
        <x:v>ID услуги</x:v>
      </x:c>
      <x:c r="B4" s="56" t="str">
        <x:v>Название</x:v>
      </x:c>
      <x:c r="C4" s="56" t="str">
        <x:v>Кому подходит</x:v>
      </x:c>
      <x:c r="D4" s="56" t="str">
        <x:v>Когда нужна консультация</x:v>
      </x:c>
      <x:c r="E4" s="56" t="str">
        <x:v>CTA</x:v>
      </x:c>
      <x:c r="F4" s="56" t="str">
        <x:v>Ссылка</x:v>
      </x:c>
      <x:c r="G4" s="57" t="str">
        <x:v>Активно</x:v>
      </x:c>
    </x:row>
    <x:row r="5">
      <x:c r="A5" s="67" t="str">
        <x:v>keratin</x:v>
      </x:c>
      <x:c r="B5" s="73" t="str">
        <x:v>Кератиновое восстановление</x:v>
      </x:c>
      <x:c r="C5" s="73" t="str">
        <x:v>Непослушные, вьющиеся и пушащиеся волосы</x:v>
      </x:c>
      <x:c r="D5" s="73" t="str">
        <x:v>Осветлённые или заметно повреждённые волосы</x:v>
      </x:c>
      <x:c r="E5" s="73" t="str">
        <x:v>Подобрать процедуру после консультации</x:v>
      </x:c>
      <x:c r="F5" s="73" t="str">
        <x:v>https://dikidi.ru/1723277</x:v>
      </x:c>
      <x:c r="G5" s="76" t="str">
        <x:v>Да</x:v>
      </x:c>
    </x:row>
    <x:row r="6">
      <x:c r="A6" s="69" t="str">
        <x:v>botox</x:v>
      </x:c>
      <x:c r="B6" s="74" t="str">
        <x:v>Ботокс для волос</x:v>
      </x:c>
      <x:c r="C6" s="74" t="str">
        <x:v>Сухая, пористая и тусклая длина</x:v>
      </x:c>
      <x:c r="D6" s="74" t="str">
        <x:v>Сильная ломкость или недавнее осветление</x:v>
      </x:c>
      <x:c r="E6" s="74" t="str">
        <x:v>Уточнить подходящий формат восстановления</x:v>
      </x:c>
      <x:c r="F6" s="74" t="str">
        <x:v>https://dikidi.ru/1723277</x:v>
      </x:c>
      <x:c r="G6" s="77" t="str">
        <x:v>Да</x:v>
      </x:c>
    </x:row>
    <x:row r="7">
      <x:c r="A7" s="71" t="str">
        <x:v>nanoplastic</x:v>
      </x:c>
      <x:c r="B7" s="75" t="str">
        <x:v>Нанопластика</x:v>
      </x:c>
      <x:c r="C7" s="75" t="str">
        <x:v>Сильная курчавость и запрос на долговременное выпрямление</x:v>
      </x:c>
      <x:c r="D7" s="75" t="str">
        <x:v>Обязательна консультация из-за ограничений процедуры</x:v>
      </x:c>
      <x:c r="E7" s="75" t="str">
        <x:v>Сначала пройти консультацию</x:v>
      </x:c>
      <x:c r="F7" s="75" t="str">
        <x:v>https://dikidi.ru/1723277</x:v>
      </x:c>
      <x:c r="G7" s="78" t="str">
        <x:v>Да</x:v>
      </x:c>
    </x:row>
  </x:sheetData>
  <x:mergeCells>
    <x:mergeCell ref="A1:G1"/>
    <x:mergeCell ref="A2:G2"/>
  </x:mergeCells>
  <x:dataValidations count="1">
    <x:dataValidation type="list" sqref="G5:G7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e51e28d8a46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16" hidden="0" customWidth="1"/>
    <x:col min="4" max="4" width="64" hidden="0" customWidth="1"/>
    <x:col min="5" max="5" width="20" hidden="0" customWidth="1"/>
    <x:col min="6" max="6" width="14" hidden="0" customWidth="1"/>
  </x:cols>
  <x:sheetData>
    <x:row r="1" ht="32" customHeight="1">
      <x:c r="A1" s="62" t="str">
        <x:v>Вопросы и ответы диагностики</x:v>
      </x:c>
    </x:row>
    <x:row r="2" ht="36" customHeight="1">
      <x:c r="A2" s="66" t="str">
        <x:v>Заказчик может менять тексты. Серые ID и переходы определяют логику теста и меняются разработчиком.</x:v>
      </x:c>
    </x:row>
    <x:row r="4" ht="34" customHeight="1">
      <x:c r="A4" s="55" t="str">
        <x:v>ID вопроса</x:v>
      </x:c>
      <x:c r="B4" s="56" t="str">
        <x:v>Текст вопроса</x:v>
      </x:c>
      <x:c r="C4" s="56" t="str">
        <x:v>ID ответа</x:v>
      </x:c>
      <x:c r="D4" s="56" t="str">
        <x:v>Текст ответа</x:v>
      </x:c>
      <x:c r="E4" s="56" t="str">
        <x:v>Следующий вопрос</x:v>
      </x:c>
      <x:c r="F4" s="57" t="str">
        <x:v>Активно</x:v>
      </x:c>
    </x:row>
    <x:row r="5">
      <x:c r="A5" s="67" t="str">
        <x:v>1</x:v>
      </x:c>
      <x:c r="B5" s="73" t="str">
        <x:v>Скажи, пожалуйста, какие у тебя сейчас волосы?</x:v>
      </x:c>
      <x:c r="C5" s="68" t="str">
        <x:v>1.1</x:v>
      </x:c>
      <x:c r="D5" s="73" t="str">
        <x:v>натуральные, не окрашиваю</x:v>
      </x:c>
      <x:c r="E5" s="68" t="str">
        <x:v>2</x:v>
      </x:c>
      <x:c r="F5" s="76" t="str">
        <x:v>Да</x:v>
      </x:c>
    </x:row>
    <x:row r="6">
      <x:c r="A6" s="69" t="str">
        <x:v>1</x:v>
      </x:c>
      <x:c r="B6" s="74" t="str">
        <x:v>Скажи, пожалуйста, какие у тебя сейчас волосы?</x:v>
      </x:c>
      <x:c r="C6" s="70" t="str">
        <x:v>1.2</x:v>
      </x:c>
      <x:c r="D6" s="74" t="str">
        <x:v>окрашенные в 1 тон (без блонда)</x:v>
      </x:c>
      <x:c r="E6" s="70" t="str">
        <x:v>2</x:v>
      </x:c>
      <x:c r="F6" s="77" t="str">
        <x:v>Да</x:v>
      </x:c>
    </x:row>
    <x:row r="7">
      <x:c r="A7" s="69" t="str">
        <x:v>1</x:v>
      </x:c>
      <x:c r="B7" s="74" t="str">
        <x:v>Скажи, пожалуйста, какие у тебя сейчас волосы?</x:v>
      </x:c>
      <x:c r="C7" s="70" t="str">
        <x:v>1.3</x:v>
      </x:c>
      <x:c r="D7" s="74" t="str">
        <x:v>окрашены по длине, отращиваю свой цвет (без блонда)</x:v>
      </x:c>
      <x:c r="E7" s="70" t="str">
        <x:v>2</x:v>
      </x:c>
      <x:c r="F7" s="77" t="str">
        <x:v>Да</x:v>
      </x:c>
    </x:row>
    <x:row r="8">
      <x:c r="A8" s="69" t="str">
        <x:v>1</x:v>
      </x:c>
      <x:c r="B8" s="74" t="str">
        <x:v>Скажи, пожалуйста, какие у тебя сейчас волосы?</x:v>
      </x:c>
      <x:c r="C8" s="70" t="str">
        <x:v>1.4</x:v>
      </x:c>
      <x:c r="D8" s="74" t="str">
        <x:v>блонд/осветленные по всей длине</x:v>
      </x:c>
      <x:c r="E8" s="70" t="str">
        <x:v>2</x:v>
      </x:c>
      <x:c r="F8" s="77" t="str">
        <x:v>Да</x:v>
      </x:c>
    </x:row>
    <x:row r="9">
      <x:c r="A9" s="69" t="str">
        <x:v>1</x:v>
      </x:c>
      <x:c r="B9" s="74" t="str">
        <x:v>Скажи, пожалуйста, какие у тебя сейчас волосы?</x:v>
      </x:c>
      <x:c r="C9" s="70" t="str">
        <x:v>1.5</x:v>
      </x:c>
      <x:c r="D9" s="74" t="str">
        <x:v>мелирование/частичный блонд</x:v>
      </x:c>
      <x:c r="E9" s="70" t="str">
        <x:v>2</x:v>
      </x:c>
      <x:c r="F9" s="77" t="str">
        <x:v>Да</x:v>
      </x:c>
    </x:row>
    <x:row r="10">
      <x:c r="A10" s="69" t="str">
        <x:v>1</x:v>
      </x:c>
      <x:c r="B10" s="74" t="str">
        <x:v>Скажи, пожалуйста, какие у тебя сейчас волосы?</x:v>
      </x:c>
      <x:c r="C10" s="70" t="str">
        <x:v>1.6</x:v>
      </x:c>
      <x:c r="D10" s="74" t="str">
        <x:v>недавно смывала цвет/делала осветление</x:v>
      </x:c>
      <x:c r="E10" s="70" t="str">
        <x:v>2</x:v>
      </x:c>
      <x:c r="F10" s="77" t="str">
        <x:v>Да</x:v>
      </x:c>
    </x:row>
    <x:row r="11">
      <x:c r="A11" s="69" t="str">
        <x:v>1</x:v>
      </x:c>
      <x:c r="B11" s="74" t="str">
        <x:v>Скажи, пожалуйста, какие у тебя сейчас волосы?</x:v>
      </x:c>
      <x:c r="C11" s="70" t="str">
        <x:v>1.7</x:v>
      </x:c>
      <x:c r="D11" s="74" t="str">
        <x:v>не знаю, сложно ответить</x:v>
      </x:c>
      <x:c r="E11" s="70" t="str">
        <x:v>2</x:v>
      </x:c>
      <x:c r="F11" s="77" t="str">
        <x:v>Да</x:v>
      </x:c>
    </x:row>
    <x:row r="12">
      <x:c r="A12" s="69" t="str">
        <x:v>2</x:v>
      </x:c>
      <x:c r="B12" s="74" t="str">
        <x:v>Какой длины у тебя волосы сейчас?</x:v>
      </x:c>
      <x:c r="C12" s="70" t="str">
        <x:v>2.1</x:v>
      </x:c>
      <x:c r="D12" s="74" t="str">
        <x:v>короткие (до плеч)</x:v>
      </x:c>
      <x:c r="E12" s="70" t="str">
        <x:v>3</x:v>
      </x:c>
      <x:c r="F12" s="77" t="str">
        <x:v>Да</x:v>
      </x:c>
    </x:row>
    <x:row r="13">
      <x:c r="A13" s="69" t="str">
        <x:v>2</x:v>
      </x:c>
      <x:c r="B13" s="74" t="str">
        <x:v>Какой длины у тебя волосы сейчас?</x:v>
      </x:c>
      <x:c r="C13" s="70" t="str">
        <x:v>2.2</x:v>
      </x:c>
      <x:c r="D13" s="74" t="str">
        <x:v>средняя длина (чуть ниже плеч)</x:v>
      </x:c>
      <x:c r="E13" s="70" t="str">
        <x:v>3</x:v>
      </x:c>
      <x:c r="F13" s="77" t="str">
        <x:v>Да</x:v>
      </x:c>
    </x:row>
    <x:row r="14">
      <x:c r="A14" s="69" t="str">
        <x:v>2</x:v>
      </x:c>
      <x:c r="B14" s="74" t="str">
        <x:v>Какой длины у тебя волосы сейчас?</x:v>
      </x:c>
      <x:c r="C14" s="70" t="str">
        <x:v>2.3</x:v>
      </x:c>
      <x:c r="D14" s="74" t="str">
        <x:v>длинные (ниже лопаток)</x:v>
      </x:c>
      <x:c r="E14" s="70" t="str">
        <x:v>3</x:v>
      </x:c>
      <x:c r="F14" s="77" t="str">
        <x:v>Да</x:v>
      </x:c>
    </x:row>
    <x:row r="15">
      <x:c r="A15" s="69" t="str">
        <x:v>2</x:v>
      </x:c>
      <x:c r="B15" s="74" t="str">
        <x:v>Какой длины у тебя волосы сейчас?</x:v>
      </x:c>
      <x:c r="C15" s="70" t="str">
        <x:v>2.4</x:v>
      </x:c>
      <x:c r="D15" s="74" t="str">
        <x:v>очень длинные (ниже талии)</x:v>
      </x:c>
      <x:c r="E15" s="70" t="str">
        <x:v>3</x:v>
      </x:c>
      <x:c r="F15" s="77" t="str">
        <x:v>Да</x:v>
      </x:c>
    </x:row>
    <x:row r="16">
      <x:c r="A16" s="69" t="str">
        <x:v>3</x:v>
      </x:c>
      <x:c r="B16" s="74" t="str">
        <x:v>Что больше всего беспокоит?</x:v>
      </x:c>
      <x:c r="C16" s="70" t="str">
        <x:v>3.1</x:v>
      </x:c>
      <x:c r="D16" s="74" t="str">
        <x:v>нет объема</x:v>
      </x:c>
      <x:c r="E16" s="70" t="str">
        <x:v>4</x:v>
      </x:c>
      <x:c r="F16" s="77" t="str">
        <x:v>Да</x:v>
      </x:c>
    </x:row>
    <x:row r="17">
      <x:c r="A17" s="69" t="str">
        <x:v>3</x:v>
      </x:c>
      <x:c r="B17" s="74" t="str">
        <x:v>Что больше всего беспокоит?</x:v>
      </x:c>
      <x:c r="C17" s="70" t="str">
        <x:v>3.2</x:v>
      </x:c>
      <x:c r="D17" s="74" t="str">
        <x:v>быстро жирнятся у корней</x:v>
      </x:c>
      <x:c r="E17" s="70" t="str">
        <x:v>4</x:v>
      </x:c>
      <x:c r="F17" s="77" t="str">
        <x:v>Да</x:v>
      </x:c>
    </x:row>
    <x:row r="18">
      <x:c r="A18" s="69" t="str">
        <x:v>3</x:v>
      </x:c>
      <x:c r="B18" s="74" t="str">
        <x:v>Что больше всего беспокоит?</x:v>
      </x:c>
      <x:c r="C18" s="70" t="str">
        <x:v>3.3</x:v>
      </x:c>
      <x:c r="D18" s="74" t="str">
        <x:v>торчат, плохо лежат, сложно уложить</x:v>
      </x:c>
      <x:c r="E18" s="70" t="str">
        <x:v>4</x:v>
      </x:c>
      <x:c r="F18" s="77" t="str">
        <x:v>Да</x:v>
      </x:c>
    </x:row>
    <x:row r="19">
      <x:c r="A19" s="69" t="str">
        <x:v>3</x:v>
      </x:c>
      <x:c r="B19" s="74" t="str">
        <x:v>Что больше всего беспокоит?</x:v>
      </x:c>
      <x:c r="C19" s="70" t="str">
        <x:v>3.4</x:v>
      </x:c>
      <x:c r="D19" s="74" t="str">
        <x:v>жесткие, сухие на ощупь</x:v>
      </x:c>
      <x:c r="E19" s="70" t="str">
        <x:v>4</x:v>
      </x:c>
      <x:c r="F19" s="77" t="str">
        <x:v>Да</x:v>
      </x:c>
    </x:row>
    <x:row r="20">
      <x:c r="A20" s="69" t="str">
        <x:v>4</x:v>
      </x:c>
      <x:c r="B20" s="74" t="str">
        <x:v>Как часто ты моешь голову?</x:v>
      </x:c>
      <x:c r="C20" s="70" t="str">
        <x:v>4.1</x:v>
      </x:c>
      <x:c r="D20" s="74" t="str">
        <x:v>каждый день</x:v>
      </x:c>
      <x:c r="E20" s="70" t="str">
        <x:v>5</x:v>
      </x:c>
      <x:c r="F20" s="77" t="str">
        <x:v>Да</x:v>
      </x:c>
    </x:row>
    <x:row r="21">
      <x:c r="A21" s="69" t="str">
        <x:v>4</x:v>
      </x:c>
      <x:c r="B21" s="74" t="str">
        <x:v>Как часто ты моешь голову?</x:v>
      </x:c>
      <x:c r="C21" s="70" t="str">
        <x:v>4.2</x:v>
      </x:c>
      <x:c r="D21" s="74" t="str">
        <x:v>через день</x:v>
      </x:c>
      <x:c r="E21" s="70" t="str">
        <x:v>6</x:v>
      </x:c>
      <x:c r="F21" s="77" t="str">
        <x:v>Да</x:v>
      </x:c>
    </x:row>
    <x:row r="22">
      <x:c r="A22" s="69" t="str">
        <x:v>4</x:v>
      </x:c>
      <x:c r="B22" s="74" t="str">
        <x:v>Как часто ты моешь голову?</x:v>
      </x:c>
      <x:c r="C22" s="70" t="str">
        <x:v>4.3</x:v>
      </x:c>
      <x:c r="D22" s="74" t="str">
        <x:v>раз в 3-4 дня</x:v>
      </x:c>
      <x:c r="E22" s="70" t="str">
        <x:v>7</x:v>
      </x:c>
      <x:c r="F22" s="77" t="str">
        <x:v>Да</x:v>
      </x:c>
    </x:row>
    <x:row r="23">
      <x:c r="A23" s="69" t="str">
        <x:v>5</x:v>
      </x:c>
      <x:c r="B23" s="74" t="str">
        <x:v>Почему ты моешь голову каждый день?</x:v>
      </x:c>
      <x:c r="C23" s="70" t="str">
        <x:v>5.1</x:v>
      </x:c>
      <x:c r="D23" s="74" t="str">
        <x:v>к вечеру нет объема, корни выглядят жирными</x:v>
      </x:c>
      <x:c r="E23" s="70" t="str">
        <x:v>8</x:v>
      </x:c>
      <x:c r="F23" s="77" t="str">
        <x:v>Да</x:v>
      </x:c>
    </x:row>
    <x:row r="24">
      <x:c r="A24" s="69" t="str">
        <x:v>5</x:v>
      </x:c>
      <x:c r="B24" s="74" t="str">
        <x:v>Почему ты моешь голову каждый день?</x:v>
      </x:c>
      <x:c r="C24" s="70" t="str">
        <x:v>5.2</x:v>
      </x:c>
      <x:c r="D24" s="74" t="str">
        <x:v>привычка, люблю когда волосы “только что вымыты”</x:v>
      </x:c>
      <x:c r="E24" s="70" t="str">
        <x:v>8</x:v>
      </x:c>
      <x:c r="F24" s="77" t="str">
        <x:v>Да</x:v>
      </x:c>
    </x:row>
    <x:row r="25">
      <x:c r="A25" s="69" t="str">
        <x:v>5</x:v>
      </x:c>
      <x:c r="B25" s="74" t="str">
        <x:v>Почему ты моешь голову каждый день?</x:v>
      </x:c>
      <x:c r="C25" s="70" t="str">
        <x:v>5.3</x:v>
      </x:c>
      <x:c r="D25" s="74" t="str">
        <x:v>после укладок/стайлинга хочется смывать все каждый день</x:v>
      </x:c>
      <x:c r="E25" s="70" t="str">
        <x:v>advice</x:v>
      </x:c>
      <x:c r="F25" s="77" t="str">
        <x:v>Да</x:v>
      </x:c>
    </x:row>
    <x:row r="26">
      <x:c r="A26" s="69" t="str">
        <x:v>5</x:v>
      </x:c>
      <x:c r="B26" s="74" t="str">
        <x:v>Почему ты моешь голову каждый день?</x:v>
      </x:c>
      <x:c r="C26" s="70" t="str">
        <x:v>5.4</x:v>
      </x:c>
      <x:c r="D26" s="74" t="str">
        <x:v>если не помою, волосы выглядят грязными и слипшимися</x:v>
      </x:c>
      <x:c r="E26" s="70" t="str">
        <x:v>8</x:v>
      </x:c>
      <x:c r="F26" s="77" t="str">
        <x:v>Да</x:v>
      </x:c>
    </x:row>
    <x:row r="27">
      <x:c r="A27" s="69" t="str">
        <x:v>6</x:v>
      </x:c>
      <x:c r="B27" s="74" t="str">
        <x:v>Как выглядят волосы к вечеру в день мытья?</x:v>
      </x:c>
      <x:c r="C27" s="70" t="str">
        <x:v>6.1</x:v>
      </x:c>
      <x:c r="D27" s="74" t="str">
        <x:v>корни к этому моменту заметно жирные</x:v>
      </x:c>
      <x:c r="E27" s="70" t="str">
        <x:v>8</x:v>
      </x:c>
      <x:c r="F27" s="77" t="str">
        <x:v>Да</x:v>
      </x:c>
    </x:row>
    <x:row r="28">
      <x:c r="A28" s="69" t="str">
        <x:v>6</x:v>
      </x:c>
      <x:c r="B28" s="74" t="str">
        <x:v>Как выглядят волосы к вечеру в день мытья?</x:v>
      </x:c>
      <x:c r="C28" s="70" t="str">
        <x:v>6.2</x:v>
      </x:c>
      <x:c r="D28" s="74" t="str">
        <x:v>объема почти нет, но и сильной жирности нет</x:v>
      </x:c>
      <x:c r="E28" s="70" t="str">
        <x:v>advice</x:v>
      </x:c>
      <x:c r="F28" s="77" t="str">
        <x:v>Да</x:v>
      </x:c>
    </x:row>
    <x:row r="29">
      <x:c r="A29" s="69" t="str">
        <x:v>6</x:v>
      </x:c>
      <x:c r="B29" s="74" t="str">
        <x:v>Как выглядят волосы к вечеру в день мытья?</x:v>
      </x:c>
      <x:c r="C29" s="70" t="str">
        <x:v>6.3</x:v>
      </x:c>
      <x:c r="D29" s="74" t="str">
        <x:v>чувствую дискомфорт кожи головы</x:v>
      </x:c>
      <x:c r="E29" s="70" t="str">
        <x:v>advice</x:v>
      </x:c>
      <x:c r="F29" s="77" t="str">
        <x:v>Да</x:v>
      </x:c>
    </x:row>
    <x:row r="30">
      <x:c r="A30" s="69" t="str">
        <x:v>6</x:v>
      </x:c>
      <x:c r="B30" s="74" t="str">
        <x:v>Как выглядят волосы к вечеру в день мытья?</x:v>
      </x:c>
      <x:c r="C30" s="70" t="str">
        <x:v>6.4</x:v>
      </x:c>
      <x:c r="D30" s="74" t="str">
        <x:v>выглядят нормально, просто привыкла мыть через день</x:v>
      </x:c>
      <x:c r="E30" s="70" t="str">
        <x:v>8</x:v>
      </x:c>
      <x:c r="F30" s="77" t="str">
        <x:v>Да</x:v>
      </x:c>
    </x:row>
    <x:row r="31">
      <x:c r="A31" s="69" t="str">
        <x:v>7</x:v>
      </x:c>
      <x:c r="B31" s="74" t="str">
        <x:v>Как волосы выглядят к моменту, когда ты их собираешься мыть?</x:v>
      </x:c>
      <x:c r="C31" s="70" t="str">
        <x:v>7.1</x:v>
      </x:c>
      <x:c r="D31" s="74" t="str">
        <x:v>корни к этому моменту уже заметно жирные и тяжелые</x:v>
      </x:c>
      <x:c r="E31" s="70" t="str">
        <x:v>advice</x:v>
      </x:c>
      <x:c r="F31" s="77" t="str">
        <x:v>Да</x:v>
      </x:c>
    </x:row>
    <x:row r="32">
      <x:c r="A32" s="69" t="str">
        <x:v>7</x:v>
      </x:c>
      <x:c r="B32" s="74" t="str">
        <x:v>Как волосы выглядят к моменту, когда ты их собираешься мыть?</x:v>
      </x:c>
      <x:c r="C32" s="70" t="str">
        <x:v>7.2</x:v>
      </x:c>
      <x:c r="D32" s="74" t="str">
        <x:v>объема нет, но и сильной жирности не вижу</x:v>
      </x:c>
      <x:c r="E32" s="70" t="str">
        <x:v>8</x:v>
      </x:c>
      <x:c r="F32" s="77" t="str">
        <x:v>Да</x:v>
      </x:c>
    </x:row>
    <x:row r="33">
      <x:c r="A33" s="69" t="str">
        <x:v>7</x:v>
      </x:c>
      <x:c r="B33" s="74" t="str">
        <x:v>Как волосы выглядят к моменту, когда ты их собираешься мыть?</x:v>
      </x:c>
      <x:c r="C33" s="70" t="str">
        <x:v>7.3</x:v>
      </x:c>
      <x:c r="D33" s="74" t="str">
        <x:v>больше всего мешает то, как лежат волосы (торчат, мнутся)</x:v>
      </x:c>
      <x:c r="E33" s="70" t="str">
        <x:v>8</x:v>
      </x:c>
      <x:c r="F33" s="77" t="str">
        <x:v>Да</x:v>
      </x:c>
    </x:row>
    <x:row r="34">
      <x:c r="A34" s="69" t="str">
        <x:v>7</x:v>
      </x:c>
      <x:c r="B34" s="74" t="str">
        <x:v>Как волосы выглядят к моменту, когда ты их собираешься мыть?</x:v>
      </x:c>
      <x:c r="C34" s="70" t="str">
        <x:v>7.4</x:v>
      </x:c>
      <x:c r="D34" s="74" t="str">
        <x:v>в целом нормально, просто привычка мыть раз в 3-4 дня</x:v>
      </x:c>
      <x:c r="E34" s="70" t="str">
        <x:v>advice</x:v>
      </x:c>
      <x:c r="F34" s="77" t="str">
        <x:v>Да</x:v>
      </x:c>
    </x:row>
    <x:row r="35">
      <x:c r="A35" s="69" t="str">
        <x:v>8</x:v>
      </x:c>
      <x:c r="B35" s="74" t="str">
        <x:v>Как ты обычно сушишь/укладываешь волосы?</x:v>
      </x:c>
      <x:c r="C35" s="70" t="str">
        <x:v>8.1</x:v>
      </x:c>
      <x:c r="D35" s="74" t="str">
        <x:v>даю высохнуть самим, почти не укладываю</x:v>
      </x:c>
      <x:c r="E35" s="70" t="str">
        <x:v>advice</x:v>
      </x:c>
      <x:c r="F35" s="77" t="str">
        <x:v>Да</x:v>
      </x:c>
    </x:row>
    <x:row r="36">
      <x:c r="A36" s="69" t="str">
        <x:v>8</x:v>
      </x:c>
      <x:c r="B36" s="74" t="str">
        <x:v>Как ты обычно сушишь/укладываешь волосы?</x:v>
      </x:c>
      <x:c r="C36" s="70" t="str">
        <x:v>8.2</x:v>
      </x:c>
      <x:c r="D36" s="74" t="str">
        <x:v>фен, но без приподнимания корней</x:v>
      </x:c>
      <x:c r="E36" s="70" t="str">
        <x:v>advice</x:v>
      </x:c>
      <x:c r="F36" s="77" t="str">
        <x:v>Да</x:v>
      </x:c>
    </x:row>
    <x:row r="37">
      <x:c r="A37" s="69" t="str">
        <x:v>8</x:v>
      </x:c>
      <x:c r="B37" s="74" t="str">
        <x:v>Как ты обычно сушишь/укладываешь волосы?</x:v>
      </x:c>
      <x:c r="C37" s="70" t="str">
        <x:v>8.3</x:v>
      </x:c>
      <x:c r="D37" s="74" t="str">
        <x:v>фен + щетка/брашинг, стараюсь сделать объем</x:v>
      </x:c>
      <x:c r="E37" s="70" t="str">
        <x:v>advice</x:v>
      </x:c>
      <x:c r="F37" s="77" t="str">
        <x:v>Да</x:v>
      </x:c>
    </x:row>
    <x:row r="38">
      <x:c r="A38" s="71" t="str">
        <x:v>8</x:v>
      </x:c>
      <x:c r="B38" s="75" t="str">
        <x:v>Как ты обычно сушишь/укладываешь волосы?</x:v>
      </x:c>
      <x:c r="C38" s="72" t="str">
        <x:v>8.4</x:v>
      </x:c>
      <x:c r="D38" s="75" t="str">
        <x:v>часто использую утюжок/плойку, выпрямляю/подкручиваю</x:v>
      </x:c>
      <x:c r="E38" s="72" t="str">
        <x:v>advice</x:v>
      </x:c>
      <x:c r="F38" s="78" t="str">
        <x:v>Да</x:v>
      </x:c>
    </x:row>
  </x:sheetData>
  <x:mergeCells>
    <x:mergeCell ref="A1:F1"/>
    <x:mergeCell ref="A2:F2"/>
  </x:mergeCells>
  <x:dataValidations count="1">
    <x:dataValidation type="list" sqref="F5:F38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30eb932df147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2" t="str">
        <x:v>Предпросмотр карточек</x:v>
      </x:c>
      <x:c r="B1" s="85"/>
      <x:c r="C1" s="85"/>
      <x:c r="D1" s="85"/>
      <x:c r="E1" s="85"/>
      <x:c r="F1" s="85"/>
      <x:c r="G1" s="85"/>
      <x:c r="H1" s="85"/>
    </x:row>
    <x:row r="2" ht="36" customHeight="1">
      <x:c r="A2" s="66" t="str">
        <x:v>Выберите ID модулей. Этот лист помогает проверить тексты; окончательная проверка всех сочетаний выполняется перед публикацией.</x:v>
      </x:c>
      <x:c r="B2" s="85"/>
      <x:c r="C2" s="85"/>
      <x:c r="D2" s="85"/>
      <x:c r="E2" s="85"/>
      <x:c r="F2" s="85"/>
      <x:c r="G2" s="85"/>
      <x:c r="H2" s="85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>
      <x:c r="A4" s="48" t="str">
        <x:v>Основной модуль</x:v>
      </x:c>
      <x:c r="B4" s="87" t="str">
        <x:v>primary_shape_control</x:v>
      </x:c>
      <x:c r="C4" s="85"/>
      <x:c r="D4" s="85"/>
      <x:c r="E4" s="85"/>
      <x:c r="F4" s="85"/>
      <x:c r="G4" s="85"/>
      <x:c r="H4" s="85"/>
    </x:row>
    <x:row r="5">
      <x:c r="A5" s="48" t="str">
        <x:v>Стоп-флаг</x:v>
      </x:c>
      <x:c r="B5" s="87" t="str">
        <x:v>alert_chemical_damage</x:v>
      </x:c>
      <x:c r="C5" s="85"/>
      <x:c r="D5" s="85"/>
      <x:c r="E5" s="85"/>
      <x:c r="F5" s="85"/>
      <x:c r="G5" s="85"/>
      <x:c r="H5" s="85"/>
    </x:row>
    <x:row r="6">
      <x:c r="A6" s="48" t="str">
        <x:v>Дополнение 1</x:v>
      </x:c>
      <x:c r="B6" s="87" t="str">
        <x:v>addon_styling_residue</x:v>
      </x:c>
      <x:c r="C6" s="85"/>
      <x:c r="D6" s="85"/>
      <x:c r="E6" s="85"/>
      <x:c r="F6" s="85"/>
      <x:c r="G6" s="85"/>
      <x:c r="H6" s="85"/>
    </x:row>
    <x:row r="7">
      <x:c r="A7" s="48" t="str">
        <x:v>Дополнение 2</x:v>
      </x:c>
      <x:c r="B7" s="87" t="str">
        <x:v>addon_long_hair</x:v>
      </x:c>
      <x:c r="C7" s="85"/>
      <x:c r="D7" s="85"/>
      <x:c r="E7" s="85"/>
      <x:c r="F7" s="85"/>
      <x:c r="G7" s="85"/>
      <x:c r="H7" s="85"/>
    </x:row>
    <x:row r="8">
      <x:c r="A8" s="85"/>
      <x:c r="B8" s="85"/>
      <x:c r="C8" s="85"/>
      <x:c r="D8" s="85"/>
      <x:c r="E8" s="85"/>
      <x:c r="F8" s="85"/>
      <x:c r="G8" s="85"/>
      <x:c r="H8" s="85"/>
    </x:row>
    <x:row r="9">
      <x:c r="A9" s="89" t="str">
        <x:v>Основной результат</x:v>
      </x:c>
      <x:c r="B9" s="85"/>
      <x:c r="C9" s="85"/>
      <x:c r="D9" s="85"/>
      <x:c r="E9" s="85"/>
      <x:c r="F9" s="85"/>
      <x:c r="G9" s="85"/>
      <x:c r="H9" s="85"/>
    </x:row>
    <x:row r="10">
      <x:c r="A10" s="91" t="str">
        <x:f>IFERROR(VLOOKUP($B$4,'Рекомендации'!$A$5:$N$100,4,FALSE),"")</x:f>
        <x:v>Волосам не хватает управляемости</x:v>
      </x:c>
      <x:c r="B10" s="85"/>
      <x:c r="C10" s="85"/>
      <x:c r="D10" s="85"/>
      <x:c r="E10" s="85"/>
      <x:c r="F10" s="85"/>
      <x:c r="G10" s="85"/>
      <x:c r="H10" s="85"/>
    </x:row>
    <x:row r="11">
      <x:c r="A11" s="94" t="str">
        <x:f>IFERROR(VLOOKUP($B$4,'Рекомендации'!$A$5:$N$100,5,FALSE),"")</x:f>
        <x:v>Главная сложность похожа на форму: волосы торчат, мнутся, плохо лежат или быстро теряют укладку.</x:v>
      </x:c>
      <x:c r="B11" s="85"/>
      <x:c r="C11" s="85"/>
      <x:c r="D11" s="85"/>
      <x:c r="E11" s="85"/>
      <x:c r="F11" s="85"/>
      <x:c r="G11" s="85"/>
      <x:c r="H11" s="85"/>
    </x:row>
    <x:row r="12">
      <x:c r="A12" s="85"/>
      <x:c r="B12" s="85"/>
      <x:c r="C12" s="85"/>
      <x:c r="D12" s="85"/>
      <x:c r="E12" s="85"/>
      <x:c r="F12" s="85"/>
      <x:c r="G12" s="85"/>
      <x:c r="H12" s="85"/>
    </x:row>
    <x:row r="13">
      <x:c r="A13" s="85"/>
      <x:c r="B13" s="85"/>
      <x:c r="C13" s="85"/>
      <x:c r="D13" s="85"/>
      <x:c r="E13" s="85"/>
      <x:c r="F13" s="85"/>
      <x:c r="G13" s="85"/>
      <x:c r="H13" s="85"/>
    </x:row>
    <x:row r="14">
      <x:c r="A14" s="48" t="str">
        <x:v>Дополнительные наблюдения</x:v>
      </x:c>
      <x:c r="B14" s="85"/>
      <x:c r="C14" s="85"/>
      <x:c r="D14" s="85"/>
      <x:c r="E14" s="85"/>
      <x:c r="F14" s="85"/>
      <x:c r="G14" s="85"/>
      <x:c r="H14" s="85"/>
    </x:row>
    <x:row r="15">
      <x:c r="A15" s="93" t="str">
        <x:f>IFERROR(VLOOKUP($B$5,'Рекомендации'!$A$5:$N$100,5,FALSE),"")</x:f>
        <x:v>В ответах есть признаки осветления, смывки или заметной химической нагрузки.</x:v>
      </x:c>
      <x:c r="B15" s="93"/>
      <x:c r="C15" s="93"/>
      <x:c r="D15" s="93"/>
      <x:c r="E15" s="93"/>
      <x:c r="F15" s="93"/>
      <x:c r="G15" s="93"/>
      <x:c r="H15" s="93"/>
    </x:row>
    <x:row r="16">
      <x:c r="A16" s="93" t="str">
        <x:f>IFERROR(VLOOKUP($B$6,'Рекомендации'!$A$5:$N$100,5,FALSE),"")</x:f>
        <x:v>Ежедневное ощущение загрязненности после укладки может быть связано с количеством и текстурой стайлинга.</x:v>
      </x:c>
      <x:c r="B16" s="93"/>
      <x:c r="C16" s="93"/>
      <x:c r="D16" s="93"/>
      <x:c r="E16" s="93"/>
      <x:c r="F16" s="93"/>
      <x:c r="G16" s="93"/>
      <x:c r="H16" s="93"/>
    </x:row>
    <x:row r="17">
      <x:c r="A17" s="93" t="str">
        <x:f>IFERROR(VLOOKUP($B$7,'Рекомендации'!$A$5:$N$100,5,FALSE),"")</x:f>
        <x:v>Чем длиннее волосы, тем больше на концах накопленного механического и температурного воздействия.</x:v>
      </x:c>
      <x:c r="B17" s="93"/>
      <x:c r="C17" s="93"/>
      <x:c r="D17" s="93"/>
      <x:c r="E17" s="93"/>
      <x:c r="F17" s="93"/>
      <x:c r="G17" s="93"/>
      <x:c r="H17" s="93"/>
    </x:row>
    <x:row r="18">
      <x:c r="A18" s="85"/>
      <x:c r="B18" s="85"/>
      <x:c r="C18" s="85"/>
      <x:c r="D18" s="85"/>
      <x:c r="E18" s="85"/>
      <x:c r="F18" s="85"/>
      <x:c r="G18" s="85"/>
      <x:c r="H18" s="85"/>
    </x:row>
    <x:row r="19">
      <x:c r="A19" s="48" t="str">
        <x:v>Практические шаги основного модуля</x:v>
      </x:c>
      <x:c r="B19" s="85"/>
      <x:c r="C19" s="85"/>
      <x:c r="D19" s="85"/>
      <x:c r="E19" s="85"/>
      <x:c r="F19" s="85"/>
      <x:c r="G19" s="85"/>
      <x:c r="H19" s="85"/>
    </x:row>
    <x:row r="20">
      <x:c r="A20" s="95" t="str">
        <x:f>IFERROR(VLOOKUP($B$4,'Рекомендации'!$A$5:$N$100,6,FALSE),"")</x:f>
        <x:v>Задавай направление волосам еще во влажном состоянии.</x:v>
      </x:c>
      <x:c r="B20" s="95"/>
      <x:c r="C20" s="95"/>
      <x:c r="D20" s="95"/>
      <x:c r="E20" s="95"/>
      <x:c r="F20" s="95"/>
      <x:c r="G20" s="95"/>
      <x:c r="H20" s="95"/>
    </x:row>
    <x:row r="21">
      <x:c r="A21" s="95" t="str">
        <x:f>IFERROR(VLOOKUP($B$4,'Рекомендации'!$A$5:$N$100,7,FALSE),"")</x:f>
        <x:v>При сушке феном используй прохладный финальный обдув, чтобы закрепить форму.</x:v>
      </x:c>
      <x:c r="B21" s="95"/>
      <x:c r="C21" s="95"/>
      <x:c r="D21" s="95"/>
      <x:c r="E21" s="95"/>
      <x:c r="F21" s="95"/>
      <x:c r="G21" s="95"/>
      <x:c r="H21" s="95"/>
    </x:row>
    <x:row r="22">
      <x:c r="A22" s="95" t="str">
        <x:f>IFERROR(VLOOKUP($B$4,'Рекомендации'!$A$5:$N$100,8,FALSE),"")</x:f>
        <x:v>Добавь легкий стайлинг без склейки: крем, спрей или флюид по длине.</x:v>
      </x:c>
      <x:c r="B22" s="95"/>
      <x:c r="C22" s="95"/>
      <x:c r="D22" s="95"/>
      <x:c r="E22" s="95"/>
      <x:c r="F22" s="95"/>
      <x:c r="G22" s="95"/>
      <x:c r="H22" s="95"/>
    </x:row>
  </x:sheetData>
  <x:mergeCells>
    <x:mergeCell ref="A1:H1"/>
    <x:mergeCell ref="A2:H2"/>
    <x:mergeCell ref="A9:H9"/>
    <x:mergeCell ref="A10:H10"/>
    <x:mergeCell ref="A11:H12"/>
    <x:mergeCell ref="A14:H14"/>
    <x:mergeCell ref="A15:H15"/>
    <x:mergeCell ref="A16:H16"/>
    <x:mergeCell ref="A17:H17"/>
    <x:mergeCell ref="A19:H19"/>
    <x:mergeCell ref="A20:H20"/>
    <x:mergeCell ref="A21:H21"/>
    <x:mergeCell ref="A22:H22"/>
  </x:mergeCells>
  <x:dataValidations count="1">
    <x:dataValidation type="list" sqref="B4:B7">
      <x:formula1>"primary_volume,primary_oily_roots,primary_shape_control,primary_dry_length,primary_balanced,alert_scalp_discomfort,alert_chemical_damage,alert_uncertain_state,addon_styling_residue,addon_hot_tools,addon_air_dry,addon_blow_dry,addon_brushing,addon_long_hair"</x:formula1>
    </x:dataValidation>
  </x:dataValidations>
  <x:pageMargins left="0.7" right="0.7" top="0.75" bottom="0.75" header="0.3" footer="0.3"/>
</x:worksheet>
</file>